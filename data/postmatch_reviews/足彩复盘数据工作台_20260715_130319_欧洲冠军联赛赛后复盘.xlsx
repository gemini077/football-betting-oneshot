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d537d9bce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投注绩效仪表盘" sheetId="1" r:id="R208df7f2712c4592"/>
    <x:sheet xmlns:r="http://schemas.openxmlformats.org/officeDocument/2006/relationships" name="01_锁单与结算明细" sheetId="2" r:id="R0f53bac7c3a14ab0"/>
    <x:sheet xmlns:r="http://schemas.openxmlformats.org/officeDocument/2006/relationships" name="02_赛前信号与赛果归因" sheetId="3" r:id="R06046c5cc7e6442c"/>
    <x:sheet xmlns:r="http://schemas.openxmlformats.org/officeDocument/2006/relationships" name="03_时间轴与盘口验证" sheetId="4" r:id="Rc50730b183464634"/>
    <x:sheet xmlns:r="http://schemas.openxmlformats.org/officeDocument/2006/relationships" name="04_玩法盈亏与暴露矩阵" sheetId="5" r:id="R315118a30dea4b75"/>
    <x:sheet xmlns:r="http://schemas.openxmlformats.org/officeDocument/2006/relationships" name="05_根因决策树与修正池" sheetId="6" r:id="Rddea1127562746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%"/>
    <x:numFmt numFmtId="202" formatCode="0.0%"/>
  </x:numFmts>
  <x:fonts count="28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4263D"/>
      <x:name val="Carlito"/>
    </x:font>
    <x:font>
      <x:b/>
      <x:sz val="11"/>
      <x:color rgb="FFFFFFFF"/>
      <x:name val="Carlito"/>
    </x:font>
    <x:font>
      <x:b/>
      <x:sz val="11"/>
      <x:color rgb="FF14263D"/>
      <x:name val="Carlito"/>
    </x:font>
    <x:font>
      <x:b/>
      <x:sz val="12"/>
      <x:color rgb="FF14263D"/>
      <x:name val="Carlito"/>
    </x:font>
    <x:font>
      <x:i/>
      <x:sz val="9"/>
      <x:color rgb="FF183A5A"/>
      <x:name val="Carlito"/>
    </x:font>
    <x:font>
      <x:b/>
      <x:sz val="9"/>
      <x:color rgb="FF64748B"/>
      <x:name val="Carlito"/>
    </x:font>
    <x:font>
      <x:b/>
      <x:sz val="10"/>
      <x:color rgb="FF183A5A"/>
      <x:name val="Carlito"/>
    </x:font>
    <x:font>
      <x:b/>
      <x:sz val="13"/>
      <x:color rgb="FF10233E"/>
      <x:name val="Carlito"/>
    </x:font>
    <x:font>
      <x:b/>
      <x:sz val="13"/>
      <x:color rgb="FF2F5D8A"/>
      <x:name val="Carlito"/>
    </x:font>
    <x:font>
      <x:b/>
      <x:sz val="13"/>
      <x:color rgb="FF0F766E"/>
      <x:name val="Carlito"/>
    </x:font>
    <x:font>
      <x:b/>
      <x:sz val="13"/>
      <x:color rgb="FF16803C"/>
      <x:name val="Carlito"/>
    </x:font>
    <x:font>
      <x:b/>
      <x:sz val="13"/>
      <x:color rgb="FFD97706"/>
      <x:name val="Carlito"/>
    </x:font>
    <x:font>
      <x:b/>
      <x:sz val="13"/>
      <x:color rgb="FFD92D20"/>
      <x:name val="Carlito"/>
    </x:font>
    <x:font>
      <x:b/>
      <x:sz val="13"/>
      <x:color rgb="FF6D28D9"/>
      <x:name val="Carlito"/>
    </x:font>
    <x:font>
      <x:b/>
      <x:sz val="13"/>
      <x:color rgb="FF111827"/>
      <x:name val="Carlito"/>
    </x:font>
    <x:font>
      <x:b/>
      <x:sz val="9"/>
      <x:color rgb="FF10233E"/>
      <x:name val="Carlito"/>
    </x:font>
    <x:font>
      <x:sz val="9"/>
      <x:color rgb="FF1F2937"/>
      <x:name val="Carlito"/>
    </x:font>
    <x:font>
      <x:b/>
      <x:sz val="9"/>
      <x:color rgb="FF1F2937"/>
      <x:name val="Carlito"/>
    </x:font>
    <x:font>
      <x:b/>
      <x:sz val="10"/>
      <x:color rgb="FFFFFFFF"/>
      <x:name val="Carlito"/>
    </x:font>
    <x:font>
      <x:b/>
      <x:sz val="9"/>
      <x:color rgb="FF183A5A"/>
      <x:name val="Carlito"/>
    </x:font>
    <x:font>
      <x:b/>
      <x:sz val="8"/>
      <x:color rgb="FF64748B"/>
      <x:name val="Carlito"/>
    </x:font>
    <x:font>
      <x:sz val="8"/>
      <x:color rgb="FF64748B"/>
      <x:name val="Carlito"/>
    </x:font>
    <x:font>
      <x:b/>
      <x:sz val="9"/>
      <x:color rgb="FFFFFFFF"/>
      <x:name val="Carlito"/>
    </x:font>
    <x:font>
      <x:b/>
      <x:sz val="9"/>
      <x:color rgb="FFD92D20"/>
      <x:name val="Carlito"/>
    </x:font>
    <x:font>
      <x:b/>
      <x:sz val="9"/>
      <x:color rgb="FF16803C"/>
      <x:name val="Carlito"/>
    </x:font>
    <x:font>
      <x:b/>
      <x:sz val="9"/>
      <x:color rgb="FFD97706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E8EEF6"/>
      </x:patternFill>
    </x:fill>
    <x:fill>
      <x:patternFill patternType="solid">
        <x:fgColor rgb="FFFFFFFF"/>
      </x:patternFill>
    </x:fill>
    <x:fill>
      <x:patternFill patternType="solid">
        <x:fgColor rgb="FFFEE2E2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10233E"/>
      </x:patternFill>
    </x:fill>
    <x:fill>
      <x:patternFill patternType="solid">
        <x:fgColor rgb="FFE8F0F7"/>
      </x:patternFill>
    </x:fill>
    <x:fill>
      <x:patternFill patternType="solid">
        <x:fgColor rgb="FFF4F7FA"/>
      </x:patternFill>
    </x:fill>
    <x:fill>
      <x:patternFill patternType="solid">
        <x:fgColor rgb="FFDCE8F3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DFF5F2"/>
      </x:patternFill>
    </x:fill>
    <x:fill>
      <x:patternFill patternType="solid">
        <x:fgColor rgb="FFE9F7EE"/>
      </x:patternFill>
    </x:fill>
    <x:fill>
      <x:patternFill patternType="solid">
        <x:fgColor rgb="FFFFF4D6"/>
      </x:patternFill>
    </x:fill>
    <x:fill>
      <x:patternFill patternType="solid">
        <x:fgColor rgb="FFFDECEC"/>
      </x:patternFill>
    </x:fill>
    <x:fill>
      <x:patternFill patternType="solid">
        <x:fgColor rgb="FFF0EAFE"/>
      </x:patternFill>
    </x:fill>
    <x:fill>
      <x:patternFill patternType="solid">
        <x:fgColor rgb="FFECEFF3"/>
      </x:patternFill>
    </x:fill>
    <x:fill>
      <x:patternFill patternType="solid">
        <x:fgColor rgb="FF2F5D8A"/>
      </x:patternFill>
    </x:fill>
    <x:fill>
      <x:patternFill patternType="solid">
        <x:fgColor rgb="FF183A5A"/>
      </x:patternFill>
    </x:fill>
    <x:fill>
      <x:patternFill patternType="solid">
        <x:fgColor rgb="FFE5EEF6"/>
      </x:patternFill>
    </x:fill>
    <x:fill>
      <x:patternFill patternType="solid">
        <x:fgColor rgb="FFE8EEF4"/>
      </x:patternFill>
    </x:fill>
    <x:fill>
      <x:patternFill patternType="solid">
        <x:fgColor rgb="FF111827"/>
      </x:patternFill>
    </x:fill>
    <x:fill>
      <x:patternFill patternType="solid">
        <x:fgColor rgb="FFD92D20"/>
      </x:patternFill>
    </x:fill>
    <x:fill>
      <x:patternFill patternType="solid">
        <x:fgColor rgb="FFD97706"/>
      </x:patternFill>
    </x:fill>
  </x:fills>
  <x:borders count="2">
    <x:border/>
    <x:border/>
  </x:borders>
  <x:cellStyleXfs count="1">
    <x:xf numFmtId="0" fontId="0" fillId="0" borderId="0"/>
  </x:cellStyleXfs>
  <x:cellXfs count="2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3" fillId="4" borderId="0" xfId="0" applyNumberFormat="1" applyFont="1" applyFill="1" applyBorder="1" applyAlignment="1">
      <x:alignment horizontal="center" vertical="center"/>
    </x:xf>
    <x:xf numFmtId="201" fontId="2" fillId="3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1" fontId="3" fillId="4" borderId="1" xfId="0" applyNumberFormat="1" applyFont="1" applyFill="1" applyBorder="1" applyAlignment="1">
      <x:alignment horizontal="center" vertical="center"/>
    </x:xf>
    <x:xf numFmtId="201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0" fontId="4" fillId="3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4" fillId="3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1" fontId="4" fillId="3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center" vertic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5" fillId="1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left"/>
    </x:xf>
    <x:xf numFmtId="0" fontId="6" fillId="12" borderId="0" xfId="0" applyNumberFormat="1" applyFont="1" applyFill="1" applyBorder="1" applyAlignment="1">
      <x:alignment horizontal="left" vertical="center"/>
    </x:xf>
    <x:xf numFmtId="0" fontId="4" fillId="13" borderId="0" xfId="0" applyNumberFormat="1" applyFont="1" applyFill="1" applyBorder="1" applyAlignment="1">
      <x:alignment horizontal="left" vertical="center"/>
    </x:xf>
    <x:xf numFmtId="0" fontId="7" fillId="13" borderId="0" xfId="0" applyNumberFormat="1" applyFont="1" applyFill="1" applyBorder="1" applyAlignment="1">
      <x:alignment horizontal="left" vertical="center"/>
    </x:xf>
    <x:xf numFmtId="0" fontId="4" fillId="14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/>
    </x:xf>
    <x:xf numFmtId="0" fontId="8" fillId="14" xfId="0" applyNumberFormat="1" applyFont="1" applyFill="1" applyBorder="0" applyAlignment="1">
      <x:alignment horizontal="center" vertical="center"/>
    </x:xf>
    <x:xf numFmtId="200" fontId="4" fillId="14" borderId="0" xfId="0" applyNumberFormat="1" applyFont="1" applyFill="1" applyBorder="1" applyAlignment="1">
      <x:alignment horizontal="center" vertical="center"/>
    </x:xf>
    <x:xf numFmtId="200" fontId="8" fillId="14" borderId="0" xfId="0" applyNumberFormat="1" applyFont="1" applyFill="1" applyBorder="1" applyAlignment="1">
      <x:alignment horizontal="center" vertical="center"/>
    </x:xf>
    <x:xf numFmtId="200" fontId="8" fillId="14" xfId="0" applyNumberFormat="1" applyFont="1" applyFill="1" applyBorder="0" applyAlignment="1">
      <x:alignment horizontal="center" vertical="center"/>
    </x:xf>
    <x:xf numFmtId="201" fontId="4" fillId="14" borderId="0" xfId="0" applyNumberFormat="1" applyFont="1" applyFill="1" applyBorder="1" applyAlignment="1">
      <x:alignment horizontal="center" vertical="center"/>
    </x:xf>
    <x:xf numFmtId="201" fontId="8" fillId="14" borderId="0" xfId="0" applyNumberFormat="1" applyFont="1" applyFill="1" applyBorder="1" applyAlignment="1">
      <x:alignment horizontal="center" vertical="center"/>
    </x:xf>
    <x:xf numFmtId="201" fontId="8" fillId="14" xfId="0" applyNumberFormat="1" applyFont="1" applyFill="1" applyBorder="0" applyAlignment="1">
      <x:alignment horizontal="center" vertical="center"/>
    </x:xf>
    <x:xf numFmtId="0" fontId="5" fillId="15" borderId="0" xfId="0" applyNumberFormat="1" applyFont="1" applyFill="1" applyBorder="1" applyAlignment="1">
      <x:alignment horizontal="center" vertical="center"/>
    </x:xf>
    <x:xf numFmtId="0" fontId="9" fillId="15" borderId="0" xfId="0" applyNumberFormat="1" applyFont="1" applyFill="1" applyBorder="1" applyAlignment="1">
      <x:alignment horizontal="center" vertical="center"/>
    </x:xf>
    <x:xf numFmtId="0" fontId="9" fillId="15" xfId="0" applyNumberFormat="1" applyFont="1" applyFill="1" applyBorder="0" applyAlignment="1">
      <x:alignment horizontal="center" vertical="center"/>
    </x:xf>
    <x:xf numFmtId="200" fontId="5" fillId="15" borderId="0" xfId="0" applyNumberFormat="1" applyFont="1" applyFill="1" applyBorder="1" applyAlignment="1">
      <x:alignment horizontal="center" vertical="center"/>
    </x:xf>
    <x:xf numFmtId="200" fontId="9" fillId="15" borderId="0" xfId="0" applyNumberFormat="1" applyFont="1" applyFill="1" applyBorder="1" applyAlignment="1">
      <x:alignment horizontal="center" vertical="center"/>
    </x:xf>
    <x:xf numFmtId="200" fontId="9" fillId="15" xfId="0" applyNumberFormat="1" applyFont="1" applyFill="1" applyBorder="0" applyAlignment="1">
      <x:alignment horizontal="center" vertical="center"/>
    </x:xf>
    <x:xf numFmtId="201" fontId="5" fillId="15" borderId="0" xfId="0" applyNumberFormat="1" applyFont="1" applyFill="1" applyBorder="1" applyAlignment="1">
      <x:alignment horizontal="center" vertical="center"/>
    </x:xf>
    <x:xf numFmtId="201" fontId="9" fillId="15" borderId="0" xfId="0" applyNumberFormat="1" applyFont="1" applyFill="1" applyBorder="1" applyAlignment="1">
      <x:alignment horizontal="center" vertical="center"/>
    </x:xf>
    <x:xf numFmtId="201" fontId="9" fillId="15" xfId="0" applyNumberFormat="1" applyFont="1" applyFill="1" applyBorder="0" applyAlignment="1">
      <x:alignment horizontal="center" vertical="center"/>
    </x:xf>
    <x:xf numFmtId="0" fontId="9" fillId="16" xfId="0" applyNumberFormat="1" applyFont="1" applyFill="1" applyBorder="0" applyAlignment="1">
      <x:alignment horizontal="center" vertical="center"/>
    </x:xf>
    <x:xf numFmtId="0" fontId="10" fillId="16" xfId="0" applyNumberFormat="1" applyFont="1" applyFill="1" applyBorder="0" applyAlignment="1">
      <x:alignment horizontal="center" vertical="center"/>
    </x:xf>
    <x:xf numFmtId="200" fontId="9" fillId="17" xfId="0" applyNumberFormat="1" applyFont="1" applyFill="1" applyBorder="0" applyAlignment="1">
      <x:alignment horizontal="center" vertical="center"/>
    </x:xf>
    <x:xf numFmtId="200" fontId="11" fillId="17" xfId="0" applyNumberFormat="1" applyFont="1" applyFill="1" applyBorder="0" applyAlignment="1">
      <x:alignment horizontal="center" vertical="center"/>
    </x:xf>
    <x:xf numFmtId="200" fontId="9" fillId="18" xfId="0" applyNumberFormat="1" applyFont="1" applyFill="1" applyBorder="0" applyAlignment="1">
      <x:alignment horizontal="center" vertical="center"/>
    </x:xf>
    <x:xf numFmtId="200" fontId="12" fillId="18" xfId="0" applyNumberFormat="1" applyFont="1" applyFill="1" applyBorder="0" applyAlignment="1">
      <x:alignment horizontal="center" vertical="center"/>
    </x:xf>
    <x:xf numFmtId="200" fontId="9" fillId="19" xfId="0" applyNumberFormat="1" applyFont="1" applyFill="1" applyBorder="0" applyAlignment="1">
      <x:alignment horizontal="center" vertical="center"/>
    </x:xf>
    <x:xf numFmtId="200" fontId="13" fillId="19" xfId="0" applyNumberFormat="1" applyFont="1" applyFill="1" applyBorder="0" applyAlignment="1">
      <x:alignment horizontal="center" vertical="center"/>
    </x:xf>
    <x:xf numFmtId="200" fontId="9" fillId="20" xfId="0" applyNumberFormat="1" applyFont="1" applyFill="1" applyBorder="0" applyAlignment="1">
      <x:alignment horizontal="center" vertical="center"/>
    </x:xf>
    <x:xf numFmtId="200" fontId="14" fillId="20" xfId="0" applyNumberFormat="1" applyFont="1" applyFill="1" applyBorder="0" applyAlignment="1">
      <x:alignment horizontal="center" vertical="center"/>
    </x:xf>
    <x:xf numFmtId="201" fontId="9" fillId="20" xfId="0" applyNumberFormat="1" applyFont="1" applyFill="1" applyBorder="0" applyAlignment="1">
      <x:alignment horizontal="center" vertical="center"/>
    </x:xf>
    <x:xf numFmtId="201" fontId="14" fillId="20" xfId="0" applyNumberFormat="1" applyFont="1" applyFill="1" applyBorder="0" applyAlignment="1">
      <x:alignment horizontal="center" vertical="center"/>
    </x:xf>
    <x:xf numFmtId="201" fontId="9" fillId="19" xfId="0" applyNumberFormat="1" applyFont="1" applyFill="1" applyBorder="0" applyAlignment="1">
      <x:alignment horizontal="center" vertical="center"/>
    </x:xf>
    <x:xf numFmtId="201" fontId="13" fillId="19" xfId="0" applyNumberFormat="1" applyFont="1" applyFill="1" applyBorder="0" applyAlignment="1">
      <x:alignment horizontal="center" vertical="center"/>
    </x:xf>
    <x:xf numFmtId="201" fontId="9" fillId="18" xfId="0" applyNumberFormat="1" applyFont="1" applyFill="1" applyBorder="0" applyAlignment="1">
      <x:alignment horizontal="center" vertical="center"/>
    </x:xf>
    <x:xf numFmtId="201" fontId="12" fillId="18" xfId="0" applyNumberFormat="1" applyFont="1" applyFill="1" applyBorder="0" applyAlignment="1">
      <x:alignment horizontal="center" vertical="center"/>
    </x:xf>
    <x:xf numFmtId="200" fontId="9" fillId="21" xfId="0" applyNumberFormat="1" applyFont="1" applyFill="1" applyBorder="0" applyAlignment="1">
      <x:alignment horizontal="center" vertical="center"/>
    </x:xf>
    <x:xf numFmtId="200" fontId="15" fillId="21" xfId="0" applyNumberFormat="1" applyFont="1" applyFill="1" applyBorder="0" applyAlignment="1">
      <x:alignment horizontal="center" vertical="center"/>
    </x:xf>
    <x:xf numFmtId="0" fontId="9" fillId="20" xfId="0" applyNumberFormat="1" applyFont="1" applyFill="1" applyBorder="0" applyAlignment="1">
      <x:alignment horizontal="center" vertical="center"/>
    </x:xf>
    <x:xf numFmtId="0" fontId="14" fillId="20" xfId="0" applyNumberFormat="1" applyFont="1" applyFill="1" applyBorder="0" applyAlignment="1">
      <x:alignment horizontal="center" vertical="center"/>
    </x:xf>
    <x:xf numFmtId="0" fontId="9" fillId="22" xfId="0" applyNumberFormat="1" applyFont="1" applyFill="1" applyBorder="0" applyAlignment="1">
      <x:alignment horizontal="center" vertical="center"/>
    </x:xf>
    <x:xf numFmtId="0" fontId="16" fillId="22" xfId="0" applyNumberFormat="1" applyFont="1" applyFill="1" applyBorder="0" applyAlignment="1">
      <x:alignment horizontal="center" vertical="center"/>
    </x:xf>
    <x:xf numFmtId="0" fontId="9" fillId="19" xfId="0" applyNumberFormat="1" applyFont="1" applyFill="1" applyBorder="0" applyAlignment="1">
      <x:alignment horizontal="center" vertical="center"/>
    </x:xf>
    <x:xf numFmtId="0" fontId="13" fillId="19" xfId="0" applyNumberFormat="1" applyFont="1" applyFill="1" applyBorder="0" applyAlignment="1">
      <x:alignment horizontal="center" vertical="center"/>
    </x:xf>
    <x:xf numFmtId="0" fontId="9" fillId="21" xfId="0" applyNumberFormat="1" applyFont="1" applyFill="1" applyBorder="0" applyAlignment="1">
      <x:alignment horizontal="center" vertical="center"/>
    </x:xf>
    <x:xf numFmtId="0" fontId="15" fillId="21" xfId="0" applyNumberFormat="1" applyFont="1" applyFill="1" applyBorder="0" applyAlignment="1">
      <x:alignment horizontal="center" vertical="center"/>
    </x:xf>
    <x:xf numFmtId="0" fontId="3" fillId="23" borderId="0" xfId="0" applyNumberFormat="1" applyFont="1" applyFill="1" applyBorder="1" applyAlignment="1">
      <x:alignment horizontal="center" vertical="center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17" fillId="14" borderId="0" xfId="0" applyNumberFormat="1" applyFont="1" applyFill="1" applyBorder="1" applyAlignment="1">
      <x:alignment horizontal="center" vertical="center" wrapText="1"/>
    </x:xf>
    <x:xf numFmtId="0" fontId="17" fillId="14" xfId="0" applyNumberFormat="1" applyFont="1" applyFill="1" applyBorder="0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200" fontId="0" fillId="1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horizontal="center" vertical="center" wrapText="1"/>
    </x:xf>
    <x:xf numFmtId="0" fontId="18" fillId="15" borderId="0" xfId="0" applyNumberFormat="1" applyFont="1" applyFill="1" applyBorder="1" applyAlignment="1">
      <x:alignment vertical="center" wrapText="1"/>
    </x:xf>
    <x:xf numFmtId="200" fontId="18" fillId="15" borderId="0" xfId="0" applyNumberFormat="1" applyFont="1" applyFill="1" applyBorder="1" applyAlignment="1">
      <x:alignment vertical="center" wrapText="1"/>
    </x:xf>
    <x:xf numFmtId="0" fontId="18" fillId="15" borderId="0" xfId="0" applyNumberFormat="1" applyFont="1" applyFill="1" applyBorder="1" applyAlignment="1">
      <x:alignment horizontal="center" vertical="center" wrapText="1"/>
    </x:xf>
    <x:xf numFmtId="0" fontId="18" fillId="15" xfId="0" applyNumberFormat="1" applyFont="1" applyFill="1" applyBorder="0" applyAlignment="1">
      <x:alignment vertical="center" wrapText="1"/>
    </x:xf>
    <x:xf numFmtId="200" fontId="18" fillId="15" xfId="0" applyNumberFormat="1" applyFont="1" applyFill="1" applyBorder="0" applyAlignment="1">
      <x:alignment vertical="center" wrapText="1"/>
    </x:xf>
    <x:xf numFmtId="0" fontId="18" fillId="15" xfId="0" applyNumberFormat="1" applyFont="1" applyFill="1" applyBorder="0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vertical="center" wrapText="1"/>
    </x:xf>
    <x:xf numFmtId="0" fontId="19" fillId="15" borderId="0" xfId="0" applyNumberFormat="1" applyFont="1" applyFill="1" applyBorder="1" applyAlignment="1">
      <x:alignment horizontal="center" vertical="center" wrapText="1"/>
    </x:xf>
    <x:xf numFmtId="0" fontId="19" fillId="15" borderId="0" xfId="0" applyNumberFormat="1" applyFont="1" applyFill="1" applyBorder="1" applyAlignment="1">
      <x:alignment vertical="center" wrapText="1"/>
    </x:xf>
    <x:xf numFmtId="0" fontId="19" fillId="15" xfId="0" applyNumberFormat="1" applyFont="1" applyFill="1" applyBorder="0" applyAlignment="1">
      <x:alignment horizontal="center" vertical="center" wrapText="1"/>
    </x:xf>
    <x:xf numFmtId="0" fontId="19" fillId="15" xfId="0" applyNumberFormat="1" applyFont="1" applyFill="1" applyBorder="0" applyAlignment="1">
      <x:alignment vertical="center" wrapText="1"/>
    </x:xf>
    <x:xf numFmtId="0" fontId="19" fillId="24" xfId="0" applyNumberFormat="1" applyFont="1" applyFill="1" applyBorder="0" applyAlignment="1">
      <x:alignment horizontal="center" vertical="center" wrapText="1"/>
    </x:xf>
    <x:xf numFmtId="0" fontId="20" fillId="24" xfId="0" applyNumberFormat="1" applyFont="1" applyFill="1" applyBorder="0" applyAlignment="1">
      <x:alignment horizontal="center" vertical="center" wrapText="1"/>
    </x:xf>
    <x:xf numFmtId="0" fontId="19" fillId="25" xfId="0" applyNumberFormat="1" applyFont="1" applyFill="1" applyBorder="0" applyAlignment="1">
      <x:alignment vertical="center" wrapText="1"/>
    </x:xf>
    <x:xf numFmtId="0" fontId="21" fillId="25" xfId="0" applyNumberFormat="1" applyFont="1" applyFill="1" applyBorder="0" applyAlignment="1">
      <x:alignment vertical="center" wrapText="1"/>
    </x:xf>
    <x:xf numFmtId="0" fontId="0" fillId="15" borderId="0" xfId="0" applyNumberFormat="1" applyFont="1" applyFill="1" applyBorder="1"/>
    <x:xf numFmtId="0" fontId="17" fillId="26" xfId="0" applyNumberFormat="1" applyFont="1" applyFill="1" applyBorder="0" applyAlignment="1">
      <x:alignment horizontal="center" vertical="center" wrapText="1"/>
    </x:xf>
    <x:xf numFmtId="0" fontId="22" fillId="26" xfId="0" applyNumberFormat="1" applyFont="1" applyFill="1" applyBorder="0" applyAlignment="1">
      <x:alignment horizontal="center" vertical="center" wrapText="1"/>
    </x:xf>
    <x:xf numFmtId="200" fontId="23" fillId="15" xfId="0" applyNumberFormat="1" applyFont="1" applyFill="1" applyBorder="0" applyAlignment="1">
      <x:alignment vertical="center" wrapText="1"/>
    </x:xf>
    <x:xf numFmtId="0" fontId="23" fillId="15" xfId="0" applyNumberFormat="1" applyFont="1" applyFill="1" applyBorder="0" applyAlignment="1">
      <x:alignment vertical="center" wrapText="1"/>
    </x:xf>
    <x:xf numFmtId="200" fontId="3" fillId="23" borderId="0" xfId="0" applyNumberFormat="1" applyFont="1" applyFill="1" applyBorder="1" applyAlignment="1">
      <x:alignment horizontal="center" vertical="center"/>
    </x:xf>
    <x:xf numFmtId="201" fontId="3" fillId="23" borderId="0" xfId="0" applyNumberFormat="1" applyFont="1" applyFill="1" applyBorder="1" applyAlignment="1">
      <x:alignment horizontal="center" vertical="center"/>
    </x:xf>
    <x:xf numFmtId="200" fontId="2" fillId="14" borderId="0" xfId="0" applyNumberFormat="1" applyFont="1" applyFill="1" applyBorder="1" applyAlignment="1">
      <x:alignment horizontal="center" vertical="center" wrapText="1"/>
    </x:xf>
    <x:xf numFmtId="201" fontId="2" fillId="14" borderId="0" xfId="0" applyNumberFormat="1" applyFont="1" applyFill="1" applyBorder="1" applyAlignment="1">
      <x:alignment horizontal="center" vertical="center" wrapText="1"/>
    </x:xf>
    <x:xf numFmtId="200" fontId="17" fillId="14" borderId="0" xfId="0" applyNumberFormat="1" applyFont="1" applyFill="1" applyBorder="1" applyAlignment="1">
      <x:alignment horizontal="center" vertical="center" wrapText="1"/>
    </x:xf>
    <x:xf numFmtId="201" fontId="17" fillId="14" borderId="0" xfId="0" applyNumberFormat="1" applyFont="1" applyFill="1" applyBorder="1" applyAlignment="1">
      <x:alignment horizontal="center" vertical="center" wrapText="1"/>
    </x:xf>
    <x:xf numFmtId="200" fontId="17" fillId="14" xfId="0" applyNumberFormat="1" applyFont="1" applyFill="1" applyBorder="0" applyAlignment="1">
      <x:alignment horizontal="center" vertical="center" wrapText="1"/>
    </x:xf>
    <x:xf numFmtId="201" fontId="17" fillId="14" xfId="0" applyNumberFormat="1" applyFont="1" applyFill="1" applyBorder="0" applyAlignment="1">
      <x:alignment horizontal="center" vertical="center" wrapText="1"/>
    </x:xf>
    <x:xf numFmtId="201" fontId="0" fillId="15" borderId="0" xfId="0" applyNumberFormat="1" applyFont="1" applyFill="1" applyBorder="1" applyAlignment="1">
      <x:alignment vertical="center" wrapText="1"/>
    </x:xf>
    <x:xf numFmtId="201" fontId="18" fillId="15" borderId="0" xfId="0" applyNumberFormat="1" applyFont="1" applyFill="1" applyBorder="1" applyAlignment="1">
      <x:alignment vertical="center" wrapText="1"/>
    </x:xf>
    <x:xf numFmtId="201" fontId="18" fillId="15" xfId="0" applyNumberFormat="1" applyFont="1" applyFill="1" applyBorder="0" applyAlignment="1">
      <x:alignment vertical="center" wrapText="1"/>
    </x:xf>
    <x:xf numFmtId="0" fontId="18" fillId="24" xfId="0" applyNumberFormat="1" applyFont="1" applyFill="1" applyBorder="0" applyAlignment="1">
      <x:alignment vertical="center" wrapText="1"/>
    </x:xf>
    <x:xf numFmtId="200" fontId="18" fillId="24" xfId="0" applyNumberFormat="1" applyFont="1" applyFill="1" applyBorder="0" applyAlignment="1">
      <x:alignment vertical="center" wrapText="1"/>
    </x:xf>
    <x:xf numFmtId="201" fontId="18" fillId="24" xfId="0" applyNumberFormat="1" applyFont="1" applyFill="1" applyBorder="0" applyAlignment="1">
      <x:alignment vertical="center" wrapText="1"/>
    </x:xf>
    <x:xf numFmtId="0" fontId="24" fillId="24" xfId="0" applyNumberFormat="1" applyFont="1" applyFill="1" applyBorder="0" applyAlignment="1">
      <x:alignment vertical="center" wrapText="1"/>
    </x:xf>
    <x:xf numFmtId="200" fontId="24" fillId="24" xfId="0" applyNumberFormat="1" applyFont="1" applyFill="1" applyBorder="0" applyAlignment="1">
      <x:alignment vertical="center" wrapText="1"/>
    </x:xf>
    <x:xf numFmtId="201" fontId="24" fillId="24" xfId="0" applyNumberFormat="1" applyFont="1" applyFill="1" applyBorder="0" applyAlignment="1">
      <x:alignment vertical="center" wrapText="1"/>
    </x:xf>
    <x:xf numFmtId="200" fontId="18" fillId="27" xfId="0" applyNumberFormat="1" applyFont="1" applyFill="1" applyBorder="0" applyAlignment="1">
      <x:alignment vertical="center" wrapText="1"/>
    </x:xf>
    <x:xf numFmtId="200" fontId="24" fillId="27" xfId="0" applyNumberFormat="1" applyFont="1" applyFill="1" applyBorder="0" applyAlignment="1">
      <x:alignment vertical="center" wrapText="1"/>
    </x:xf>
    <x:xf numFmtId="200" fontId="24" fillId="27" xfId="0" applyNumberFormat="1" applyFont="1" applyFill="1" applyBorder="0" applyAlignment="1">
      <x:alignment horizontal="center" vertical="center" wrapText="1"/>
    </x:xf>
    <x:xf numFmtId="0" fontId="18" fillId="20" xfId="0" applyNumberFormat="1" applyFont="1" applyFill="1" applyBorder="0" applyAlignment="1">
      <x:alignment vertical="center" wrapText="1"/>
    </x:xf>
    <x:xf numFmtId="0" fontId="25" fillId="20" xfId="0" applyNumberFormat="1" applyFont="1" applyFill="1" applyBorder="0" applyAlignment="1">
      <x:alignment vertical="center" wrapText="1"/>
    </x:xf>
    <x:xf numFmtId="0" fontId="25" fillId="20" xfId="0" applyNumberFormat="1" applyFont="1" applyFill="1" applyBorder="0" applyAlignment="1">
      <x:alignment horizontal="center" vertical="center" wrapText="1"/>
    </x:xf>
    <x:xf numFmtId="200" fontId="18" fillId="20" xfId="0" applyNumberFormat="1" applyFont="1" applyFill="1" applyBorder="0" applyAlignment="1">
      <x:alignment vertical="center" wrapText="1"/>
    </x:xf>
    <x:xf numFmtId="200" fontId="25" fillId="20" xfId="0" applyNumberFormat="1" applyFont="1" applyFill="1" applyBorder="0" applyAlignment="1">
      <x:alignment vertical="center" wrapText="1"/>
    </x:xf>
    <x:xf numFmtId="200" fontId="25" fillId="20" xfId="0" applyNumberFormat="1" applyFont="1" applyFill="1" applyBorder="0" applyAlignment="1">
      <x:alignment horizontal="center" vertical="center" wrapText="1"/>
    </x:xf>
    <x:xf numFmtId="200" fontId="18" fillId="28" xfId="0" applyNumberFormat="1" applyFont="1" applyFill="1" applyBorder="0" applyAlignment="1">
      <x:alignment vertical="center" wrapText="1"/>
    </x:xf>
    <x:xf numFmtId="200" fontId="24" fillId="28" xfId="0" applyNumberFormat="1" applyFont="1" applyFill="1" applyBorder="0" applyAlignment="1">
      <x:alignment vertical="center" wrapText="1"/>
    </x:xf>
    <x:xf numFmtId="200" fontId="24" fillId="28" xfId="0" applyNumberFormat="1" applyFont="1" applyFill="1" applyBorder="0" applyAlignment="1">
      <x:alignment horizontal="center" vertical="center" wrapText="1"/>
    </x:xf>
    <x:xf numFmtId="0" fontId="18" fillId="18" xfId="0" applyNumberFormat="1" applyFont="1" applyFill="1" applyBorder="0" applyAlignment="1">
      <x:alignment vertical="center" wrapText="1"/>
    </x:xf>
    <x:xf numFmtId="0" fontId="26" fillId="18" xfId="0" applyNumberFormat="1" applyFont="1" applyFill="1" applyBorder="0" applyAlignment="1">
      <x:alignment vertical="center" wrapText="1"/>
    </x:xf>
    <x:xf numFmtId="0" fontId="26" fillId="18" xfId="0" applyNumberFormat="1" applyFont="1" applyFill="1" applyBorder="0" applyAlignment="1">
      <x:alignment horizontal="center" vertical="center" wrapText="1"/>
    </x:xf>
    <x:xf numFmtId="200" fontId="18" fillId="18" xfId="0" applyNumberFormat="1" applyFont="1" applyFill="1" applyBorder="0" applyAlignment="1">
      <x:alignment vertical="center" wrapText="1"/>
    </x:xf>
    <x:xf numFmtId="200" fontId="26" fillId="18" xfId="0" applyNumberFormat="1" applyFont="1" applyFill="1" applyBorder="0" applyAlignment="1">
      <x:alignment vertical="center" wrapText="1"/>
    </x:xf>
    <x:xf numFmtId="200" fontId="26" fillId="18" xfId="0" applyNumberFormat="1" applyFont="1" applyFill="1" applyBorder="0" applyAlignment="1">
      <x:alignment horizontal="center" vertical="center" wrapText="1"/>
    </x:xf>
    <x:xf numFmtId="0" fontId="18" fillId="19" xfId="0" applyNumberFormat="1" applyFont="1" applyFill="1" applyBorder="0" applyAlignment="1">
      <x:alignment vertical="center" wrapText="1"/>
    </x:xf>
    <x:xf numFmtId="0" fontId="27" fillId="19" xfId="0" applyNumberFormat="1" applyFont="1" applyFill="1" applyBorder="0" applyAlignment="1">
      <x:alignment vertical="center" wrapText="1"/>
    </x:xf>
    <x:xf numFmtId="0" fontId="27" fillId="19" xfId="0" applyNumberFormat="1" applyFont="1" applyFill="1" applyBorder="0" applyAlignment="1">
      <x:alignment horizontal="center" vertical="center" wrapText="1"/>
    </x:xf>
    <x:xf numFmtId="0" fontId="18" fillId="28" xfId="0" applyNumberFormat="1" applyFont="1" applyFill="1" applyBorder="0" applyAlignment="1">
      <x:alignment vertical="center" wrapText="1"/>
    </x:xf>
    <x:xf numFmtId="0" fontId="24" fillId="28" xfId="0" applyNumberFormat="1" applyFont="1" applyFill="1" applyBorder="0" applyAlignment="1">
      <x:alignment vertical="center" wrapText="1"/>
    </x:xf>
    <x:xf numFmtId="0" fontId="24" fillId="28" xfId="0" applyNumberFormat="1" applyFont="1" applyFill="1" applyBorder="0" applyAlignment="1">
      <x:alignment horizontal="center" vertical="center" wrapText="1"/>
    </x:xf>
    <x:xf numFmtId="0" fontId="18" fillId="29" xfId="0" applyNumberFormat="1" applyFont="1" applyFill="1" applyBorder="0" applyAlignment="1">
      <x:alignment vertical="center" wrapText="1"/>
    </x:xf>
    <x:xf numFmtId="0" fontId="24" fillId="29" xfId="0" applyNumberFormat="1" applyFont="1" applyFill="1" applyBorder="0" applyAlignment="1">
      <x:alignment vertical="center" wrapText="1"/>
    </x:xf>
    <x:xf numFmtId="0" fontId="24" fillId="29" xfId="0" applyNumberFormat="1" applyFont="1" applyFill="1" applyBorder="0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xfId="0" applyNumberFormat="1" applyFont="1" applyFill="1" applyBorder="0" applyAlignment="1">
      <x:alignment horizontal="center" vertical="center"/>
    </x:xf>
    <x:xf numFmtId="200" fontId="9" fillId="6" borderId="0" xfId="0" applyNumberFormat="1" applyFont="1" applyFill="1" applyBorder="1" applyAlignment="1">
      <x:alignment horizontal="center" vertical="center"/>
    </x:xf>
    <x:xf numFmtId="200" fontId="9" fillId="6" xfId="0" applyNumberFormat="1" applyFont="1" applyFill="1" applyBorder="0" applyAlignment="1">
      <x:alignment horizontal="center" vertical="center"/>
    </x:xf>
    <x:xf numFmtId="201" fontId="9" fillId="6" borderId="0" xfId="0" applyNumberFormat="1" applyFont="1" applyFill="1" applyBorder="1" applyAlignment="1">
      <x:alignment horizontal="center" vertical="center"/>
    </x:xf>
    <x:xf numFmtId="201" fontId="9" fillId="6" xfId="0" applyNumberFormat="1" applyFont="1" applyFill="1" applyBorder="0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200" fontId="18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horizontal="center" vertical="center" wrapText="1"/>
    </x:xf>
    <x:xf numFmtId="0" fontId="18" fillId="6" xfId="0" applyNumberFormat="1" applyFont="1" applyFill="1" applyBorder="0" applyAlignment="1">
      <x:alignment vertical="center" wrapText="1"/>
    </x:xf>
    <x:xf numFmtId="200" fontId="18" fillId="6" xfId="0" applyNumberFormat="1" applyFont="1" applyFill="1" applyBorder="0" applyAlignment="1">
      <x:alignment vertical="center" wrapText="1"/>
    </x:xf>
    <x:xf numFmtId="0" fontId="18" fillId="6" xfId="0" applyNumberFormat="1" applyFont="1" applyFill="1" applyBorder="0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9" fillId="6" borderId="0" xfId="0" applyNumberFormat="1" applyFont="1" applyFill="1" applyBorder="1" applyAlignment="1">
      <x:alignment horizontal="center" vertical="center" wrapText="1"/>
    </x:xf>
    <x:xf numFmtId="0" fontId="19" fillId="6" borderId="0" xfId="0" applyNumberFormat="1" applyFont="1" applyFill="1" applyBorder="1" applyAlignment="1">
      <x:alignment vertical="center" wrapText="1"/>
    </x:xf>
    <x:xf numFmtId="0" fontId="19" fillId="6" xfId="0" applyNumberFormat="1" applyFont="1" applyFill="1" applyBorder="0" applyAlignment="1">
      <x:alignment horizontal="center" vertical="center" wrapText="1"/>
    </x:xf>
    <x:xf numFmtId="0" fontId="19" fillId="6" xfId="0" applyNumberFormat="1" applyFont="1" applyFill="1" applyBorder="0" applyAlignment="1">
      <x:alignment vertical="center" wrapText="1"/>
    </x:xf>
    <x:xf numFmtId="200" fontId="23" fillId="6" xfId="0" applyNumberFormat="1" applyFont="1" applyFill="1" applyBorder="0" applyAlignment="1">
      <x:alignment vertical="center" wrapText="1"/>
    </x:xf>
    <x:xf numFmtId="0" fontId="23" fillId="6" xfId="0" applyNumberFormat="1" applyFont="1" applyFill="1" applyBorder="0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201" fontId="18" fillId="6" borderId="0" xfId="0" applyNumberFormat="1" applyFont="1" applyFill="1" applyBorder="1" applyAlignment="1">
      <x:alignment vertical="center" wrapText="1"/>
    </x:xf>
    <x:xf numFmtId="201" fontId="18" fillId="6" xfId="0" applyNumberFormat="1" applyFont="1" applyFill="1" applyBorder="0" applyAlignment="1">
      <x:alignment vertical="center" wrapText="1"/>
    </x:xf>
    <x:xf numFmtId="202" fontId="12" fillId="18" xfId="0" applyNumberFormat="1" applyFont="1" applyFill="1" applyBorder="0" applyAlignment="1">
      <x:alignment horizontal="center" vertical="center"/>
    </x:xf>
    <x:xf numFmtId="0" fontId="18" fillId="6" xfId="0" applyNumberFormat="1" applyFont="1" applyFill="1" applyBorder="0" applyAlignment="1">
      <x:alignment vertical="top" wrapText="1"/>
    </x:xf>
    <x:xf numFmtId="200" fontId="18" fillId="6" xfId="0" applyNumberFormat="1" applyFont="1" applyFill="1" applyBorder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2"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b/>
        <x:color rgb="FF1F4E78"/>
      </x:font>
      <x:fill>
        <x:patternFill>
          <x:bgColor rgb="FFDBEAFE"/>
        </x:patternFill>
      </x:fill>
    </x:dxf>
    <x:dxf>
      <x:font>
        <x:b/>
        <x:color rgb="FFD97706"/>
      </x:font>
      <x:fill>
        <x:patternFill>
          <x:bgColor rgb="FFFED7AA"/>
        </x:patternFill>
      </x:fill>
    </x:dxf>
    <x:dxf>
      <x:font>
        <x:b/>
        <x:color rgb="FF111827"/>
      </x:font>
      <x:fill>
        <x:patternFill>
          <x:bgColor rgb="FFD1D5DB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color rgb="FF6B7280"/>
      </x:font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F4E78"/>
      </x:font>
      <x:fill>
        <x:patternFill>
          <x:bgColor rgb="FFE0F2FE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111827"/>
      </x:font>
      <x:fill>
        <x:patternFill>
          <x:bgColor rgb="FFE5E7EB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0E7FF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E9F7EE"/>
        </x:patternFill>
      </x:fill>
    </x:dxf>
    <x:dxf>
      <x:fill>
        <x:patternFill>
          <x:bgColor rgb="FFECEFF3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b/>
        <x:color rgb="FFFFFFFF"/>
      </x:font>
      <x:fill>
        <x:patternFill>
          <x:bgColor rgb="FF2563EB"/>
        </x:patternFill>
      </x:fill>
    </x:dxf>
    <x:dxf>
      <x:font>
        <x:b/>
        <x:color rgb="FFFFFFFF"/>
      </x:font>
      <x:fill>
        <x:patternFill>
          <x:bgColor rgb="FFF59E0B"/>
        </x:patternFill>
      </x:fill>
    </x:dxf>
    <x:dxf>
      <x:font>
        <x:b/>
        <x:color rgb="FFFFFFFF"/>
      </x:font>
      <x:fill>
        <x:patternFill>
          <x:bgColor rgb="FF6B7280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color rgb="FF16803C"/>
      </x:font>
      <x:fill>
        <x:patternFill>
          <x:bgColor rgb="FFE9F7EE"/>
        </x:patternFill>
      </x:fill>
    </x:dxf>
    <x:dxf>
      <x:font>
        <x:color rgb="FFD92D20"/>
      </x:font>
      <x:fill>
        <x:patternFill>
          <x:bgColor rgb="FFFDECEC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D9770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F97316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302e1c8e944ba7" /><Relationship Type="http://schemas.openxmlformats.org/officeDocument/2006/relationships/theme" Target="/xl/theme/theme1.xml" Id="R935262468e114ee9" /><Relationship Type="http://schemas.openxmlformats.org/officeDocument/2006/relationships/sharedStrings" Target="/xl/sharedStrings.xml" Id="Ra6e87cb9b6684baa" /><Relationship Type="http://schemas.openxmlformats.org/officeDocument/2006/relationships/worksheet" Target="/xl/worksheets/sheet1.xml" Id="R208df7f2712c4592" /><Relationship Type="http://schemas.openxmlformats.org/officeDocument/2006/relationships/worksheet" Target="/xl/worksheets/sheet2.xml" Id="R0f53bac7c3a14ab0" /><Relationship Type="http://schemas.openxmlformats.org/officeDocument/2006/relationships/worksheet" Target="/xl/worksheets/sheet3.xml" Id="R06046c5cc7e6442c" /><Relationship Type="http://schemas.openxmlformats.org/officeDocument/2006/relationships/worksheet" Target="/xl/worksheets/sheet4.xml" Id="Rc50730b183464634" /><Relationship Type="http://schemas.openxmlformats.org/officeDocument/2006/relationships/worksheet" Target="/xl/worksheets/sheet5.xml" Id="R315118a30dea4b75" /><Relationship Type="http://schemas.openxmlformats.org/officeDocument/2006/relationships/worksheet" Target="/xl/worksheets/sheet6.xml" Id="Rddea1127562746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3d95225dd8448d" /><Relationship Type="http://schemas.openxmlformats.org/officeDocument/2006/relationships/chart" Target="/xl/drawings/charts/chart2.xml" Id="Rc3cbaac81fde4f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各投注层：投入、回收与盈亏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总投注金额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'04_玩法盈亏与暴露矩阵'!$B$5:$B$7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总回收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'04_玩法盈亏与暴露矩阵'!$C$5:$C$7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盈亏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'04_玩法盈亏与暴露矩阵'!$D$5:$D$7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锁单累计盈亏轨迹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累计盈亏</c:v>
          </c:tx>
          <c:marker>
            <c:symbol val="none"/>
          </c:marker>
          <c:cat>
            <c:strRef>
              <c:f>'00_投注绩效仪表盘'!$P$25:$P$30</c:f>
              <c:strCache>
                <c:ptCount val="0"/>
              </c:strCache>
            </c:strRef>
          </c:cat>
          <c:val>
            <c:numRef>
              <c:f>'00_投注绩效仪表盘'!$Q$25:$Q$30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3d95225dd8448d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cbaac81fde4f7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ckSettlementTable" displayName="LockSettlementTable" ref="A3:W9" headerRowCount="1">
  <x:tableColumns count="23">
    <x:tableColumn id="1" name="注单ID"/>
    <x:tableColumn id="2" name="比赛ID与对阵"/>
    <x:tableColumn id="3" name="锁单时间戳"/>
    <x:tableColumn id="4" name="投注层标签"/>
    <x:tableColumn id="5" name="主维度玩法"/>
    <x:tableColumn id="6" name="投注方向"/>
    <x:tableColumn id="7" name="下注赔率"/>
    <x:tableColumn id="8" name="下注金额"/>
    <x:tableColumn id="9" name="赛果"/>
    <x:tableColumn id="10" name="注单状态"/>
    <x:tableColumn id="11" name="实际回收金额"/>
    <x:tableColumn id="12" name="盈亏"/>
    <x:tableColumn id="13" name="同场重复暴露检查"/>
    <x:tableColumn id="14" name="锁单冻结"/>
    <x:tableColumn id="15" name="模型逻辑分类"/>
    <x:tableColumn id="16" name="随机事件标记"/>
    <x:tableColumn id="17" name="累计盈亏"/>
    <x:tableColumn id="18" name="累计峰值"/>
    <x:tableColumn id="19" name="回撤"/>
    <x:tableColumn id="20" name="备注"/>
    <x:tableColumn id="21" name="命中系数"/>
    <x:tableColumn id="22" name="有效逻辑系数"/>
    <x:tableColumn id="23" name="是否已结"/>
  </x:tableColumns>
  <x:tableStyleInfo name="TableStyleMedium2" showRowStripes="1"/>
</x:table>
</file>

<file path=xl/tables/table2.xml><?xml version="1.0" encoding="utf-8"?>
<x:table xmlns:x="http://schemas.openxmlformats.org/spreadsheetml/2006/main" id="2" name="SignalAttributionTable" displayName="SignalAttributionTable" ref="A3:V11" headerRowCount="1" totalsRowCount="0">
  <x:tableColumns count="22">
    <x:tableColumn id="1" name="MatchID"/>
    <x:tableColumn id="2" name="赛事与对阵"/>
    <x:tableColumn id="3" name="赛前三维交叉验证结论"/>
    <x:tableColumn id="4" name="盘路性质判定"/>
    <x:tableColumn id="5" name="赛前唯一首推比分"/>
    <x:tableColumn id="6" name="赛前首推主维度"/>
    <x:tableColumn id="7" name="赛前亚盘方向"/>
    <x:tableColumn id="8" name="赛前大小球方向"/>
    <x:tableColumn id="9" name="赛前BTTS判断"/>
    <x:tableColumn id="10" name="实际90分钟比分"/>
    <x:tableColumn id="11" name="主维度是否命中"/>
    <x:tableColumn id="12" name="比分是否命中"/>
    <x:tableColumn id="13" name="相邻比分污染"/>
    <x:tableColumn id="14" name="冷门/右尾污染"/>
    <x:tableColumn id="15" name="错点归因（单选）"/>
    <x:tableColumn id="16" name="红黑与模型逻辑分类"/>
    <x:tableColumn id="17" name="随机事件剔除"/>
    <x:tableColumn id="18" name="最大错点类型"/>
    <x:tableColumn id="19" name="赛前最大错点"/>
    <x:tableColumn id="20" name="复盘摘要"/>
    <x:tableColumn id="21" name="模型有效系数"/>
    <x:tableColumn id="22" name="是否有效样本"/>
  </x:tableColumns>
  <x:tableStyleInfo name="TableStyleMedium2" showRowStripes="1"/>
</x:table>
</file>

<file path=xl/tables/table3.xml><?xml version="1.0" encoding="utf-8"?>
<x:table xmlns:x="http://schemas.openxmlformats.org/spreadsheetml/2006/main" id="3" name="OddsTimelineTable" displayName="OddsTimelineTable" ref="A3:M11" headerRowCount="1" totalsRowCount="0">
  <x:tableColumns count="13">
    <x:tableColumn id="1" name="记录ID"/>
    <x:tableColumn id="2" name="比赛ID与对阵"/>
    <x:tableColumn id="3" name="开赛倒计时"/>
    <x:tableColumn id="4" name="锁单窗口合规性"/>
    <x:tableColumn id="5" name="初盘定位"/>
    <x:tableColumn id="6" name="终盘定位（临场15min）"/>
    <x:tableColumn id="7" name="终盘对比初盘变化"/>
    <x:tableColumn id="8" name="经验库触发类型"/>
    <x:tableColumn id="9" name="盘口变化与赛果方向"/>
    <x:tableColumn id="10" name="欧亚理论盘型校验"/>
    <x:tableColumn id="11" name="最终赛果验证"/>
    <x:tableColumn id="12" name="数据完整度"/>
    <x:tableColumn id="13" name="来源/备注"/>
  </x:tableColumns>
  <x:tableStyleInfo name="TableStyleMedium2" showRowStripes="1"/>
</x:table>
</file>

<file path=xl/tables/table4.xml><?xml version="1.0" encoding="utf-8"?>
<x:table xmlns:x="http://schemas.openxmlformats.org/spreadsheetml/2006/main" id="4" name="RootCauseTable" displayName="RootCauseTable" ref="A3:J11" headerRowCount="1" totalsRowCount="0">
  <x:tableColumns count="10">
    <x:tableColumn id="1" name="比赛场次"/>
    <x:tableColumn id="2" name="决策节点审计"/>
    <x:tableColumn id="3" name="反事实推演"/>
    <x:tableColumn id="4" name="赛前可识别性"/>
    <x:tableColumn id="5" name="是否修改模型"/>
    <x:tableColumn id="6" name="具体修改建议"/>
    <x:tableColumn id="7" name="收敛结论"/>
    <x:tableColumn id="8" name="最大错点类型"/>
    <x:tableColumn id="9" name="生效状态"/>
    <x:tableColumn id="10" name="优先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31db635d73b40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4787b985c547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54c08265f244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44fee2c1634e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7acaaad9d5d4f9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" hidden="0" customWidth="1"/>
    <x:col min="4" max="4" width="22" hidden="0" customWidth="1"/>
    <x:col min="5" max="5" width="18" hidden="0" customWidth="1"/>
    <x:col min="6" max="6" width="4" hidden="0" customWidth="1"/>
    <x:col min="7" max="7" width="24" hidden="0" customWidth="1"/>
    <x:col min="8" max="8" width="18" hidden="0" customWidth="1"/>
    <x:col min="9" max="9" width="4" hidden="0" customWidth="1"/>
    <x:col min="10" max="10" width="20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2" customHeight="1">
      <x:c r="A1" s="99" t="str">
        <x:v>00｜投注绩效仪表盘｜本金安全、盈利效率与模型有效性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 ht="22" customHeight="1">
      <x:c r="A2" s="103" t="str">
        <x:v>资金安全、盈利效率、模型有效性与回撤一屏总览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 ht="23" customHeight="1">
      <x:c r="A3" s="105" t="str">
        <x:v>截至 2026-07-15｜有效复盘 16 场｜已结注单 6 场｜自动复盘已启用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  <x:c r="N3" s="105"/>
    </x:row>
    <x:row r="5" ht="28" customHeight="1">
      <x:c r="A5" s="108" t="str">
        <x:v>统计周期</x:v>
      </x:c>
      <x:c r="B5" s="117" t="str">
        <x:v>截至 2026-07-15</x:v>
      </x:c>
      <x:c r="D5" s="108" t="str">
        <x:v>总本金</x:v>
      </x:c>
      <x:c r="E5" s="125" t="n">
        <x:v>100</x:v>
      </x:c>
      <x:c r="G5" s="108" t="str">
        <x:v>平台累计流水</x:v>
      </x:c>
      <x:c r="H5" s="127" t="n">
        <x:v>389.27</x:v>
      </x:c>
      <x:c r="I5" s="35"/>
      <x:c r="J5" s="111" t="str">
        <x:v>当前账户余额</x:v>
      </x:c>
      <x:c r="K5" s="129" t="n">
        <x:v>51.43</x:v>
      </x:c>
    </x:row>
    <x:row r="6">
      <x:c r="H6" s="35"/>
      <x:c r="I6" s="35"/>
      <x:c r="J6" s="35"/>
      <x:c r="K6" s="35"/>
    </x:row>
    <x:row r="7">
      <x:c r="H7" s="35"/>
      <x:c r="I7" s="35"/>
      <x:c r="J7" s="35"/>
      <x:c r="K7" s="35"/>
    </x:row>
    <x:row r="8" ht="28" customHeight="1">
      <x:c r="A8" s="108" t="str">
        <x:v>已投注总额</x:v>
      </x:c>
      <x:c r="B8" s="120" t="n">
        <x:f>SUM('01_锁单与结算明细'!$H$4:$H$203)</x:f>
        <x:v>20.2</x:v>
      </x:c>
      <x:c r="C8" s="35"/>
      <x:c r="D8" s="111" t="str">
        <x:v>现金缓冲余额</x:v>
      </x:c>
      <x:c r="E8" s="131" t="n">
        <x:f>E5-B8</x:f>
        <x:v>79.8</x:v>
      </x:c>
      <x:c r="F8" s="35"/>
      <x:c r="G8" s="111" t="str">
        <x:v>实际回收总额</x:v>
      </x:c>
      <x:c r="H8" s="120" t="n">
        <x:f>SUM('01_锁单与结算明细'!$K$4:$K$203)</x:f>
        <x:v>6.44</x:v>
      </x:c>
      <x:c r="I8" s="35"/>
      <x:c r="J8" s="111" t="str">
        <x:v>净盈亏</x:v>
      </x:c>
      <x:c r="K8" s="133" t="n">
        <x:f>H8-B8</x:f>
        <x:v>-13.759999999999998</x:v>
      </x:c>
    </x:row>
    <x:row r="9">
      <x:c r="B9" s="35"/>
      <x:c r="C9" s="35"/>
      <x:c r="D9" s="35"/>
      <x:c r="E9" s="35"/>
      <x:c r="F9" s="35"/>
      <x:c r="G9" s="35"/>
      <x:c r="H9" s="35"/>
      <x:c r="I9" s="35"/>
      <x:c r="J9" s="35"/>
      <x:c r="K9" s="35"/>
    </x:row>
    <x:row r="10"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</x:row>
    <x:row r="11" ht="28" customHeight="1">
      <x:c r="A11" s="108" t="str">
        <x:v>总ROI</x:v>
      </x:c>
      <x:c r="B11" s="135" t="n">
        <x:f>IF(B8=0,"",K8/B8)</x:f>
        <x:v>-0.6811881188118811</x:v>
      </x:c>
      <x:c r="C11" s="42"/>
      <x:c r="D11" s="114" t="str">
        <x:v>注单命中率（加权）</x:v>
      </x:c>
      <x:c r="E11" s="137" t="n">
        <x:f>IF(SUM('01_锁单与结算明细'!$H$4:$H$203)=0,"",SUMPRODUCT('01_锁单与结算明细'!$H$4:$H$203,'01_锁单与结算明细'!$U$4:$U$203)/SUM('01_锁单与结算明细'!$H$4:$H$203))</x:f>
        <x:v>0.19801980198019803</x:v>
      </x:c>
      <x:c r="F11" s="42"/>
      <x:c r="G11" s="114" t="str">
        <x:v>有效命中率（去随机）</x:v>
      </x:c>
      <x:c r="H11" s="248" t="n">
        <x:f>SUM('02_赛前信号与赛果归因'!U:U)/SUM('02_赛前信号与赛果归因'!V:V)</x:f>
        <x:v>0.46875</x:v>
      </x:c>
      <x:c r="I11" s="35"/>
      <x:c r="J11" s="111" t="str">
        <x:v>最大回撤</x:v>
      </x:c>
      <x:c r="K11" s="141" t="n">
        <x:f>-MIN('01_锁单与结算明细'!$S$4:$S$203)</x:f>
        <x:v>14.2</x:v>
      </x:c>
    </x:row>
    <x:row r="14" ht="28" customHeight="1">
      <x:c r="A14" s="108" t="str">
        <x:v>红单数</x:v>
      </x:c>
      <x:c r="B14" s="143" t="n">
        <x:f>COUNTIF('01_锁单与结算明细'!$J$4:$J$203,"红")</x:f>
        <x:v>1</x:v>
      </x:c>
      <x:c r="D14" s="108" t="str">
        <x:v>黑单数</x:v>
      </x:c>
      <x:c r="E14" s="145" t="n">
        <x:f>COUNTIF('01_锁单与结算明细'!$J$4:$J$203,"黑")</x:f>
        <x:v>5</x:v>
      </x:c>
      <x:c r="G14" s="108" t="str">
        <x:v>红但逻辑错</x:v>
      </x:c>
      <x:c r="H14" s="147" t="n">
        <x:f>COUNTIF('02_赛前信号与赛果归因'!$P$4:$P$203,"*红*逻辑错*")</x:f>
        <x:v>0</x:v>
      </x:c>
      <x:c r="J14" s="108" t="str">
        <x:v>黑但逻辑对</x:v>
      </x:c>
      <x:c r="K14" s="149" t="n">
        <x:v>1</x:v>
      </x:c>
    </x:row>
    <x:row r="17">
      <x:c r="A17" s="150" t="str">
        <x:v>资金口径校验</x:v>
      </x:c>
      <x:c r="B17" s="150"/>
      <x:c r="C17" s="150"/>
      <x:c r="D17" s="150"/>
      <x:c r="E17" s="150"/>
      <x:c r="F17" s="150" t="str">
        <x:v>执行纪律</x:v>
      </x:c>
      <x:c r="G17" s="150"/>
      <x:c r="H17" s="150"/>
      <x:c r="I17" s="150"/>
      <x:c r="J17" s="150"/>
      <x:c r="K17" s="150"/>
      <x:c r="L17" s="150"/>
      <x:c r="M17" s="150"/>
      <x:c r="N17" s="150"/>
    </x:row>
    <x:row r="18" ht="30" customHeight="1">
      <x:c r="A18" s="153" t="str">
        <x:v>指标</x:v>
      </x:c>
      <x:c r="B18" s="153" t="str">
        <x:v>数值</x:v>
      </x:c>
      <x:c r="C18" s="153" t="str">
        <x:v>解释</x:v>
      </x:c>
      <x:c r="D18" s="153" t="str"/>
      <x:c r="E18" s="153" t="str">
        <x:v>状态</x:v>
      </x:c>
      <x:c r="F18" s="170" t="str">
        <x:v>1</x:v>
      </x:c>
      <x:c r="G18" s="172" t="str">
        <x:v>锁单后冻结</x:v>
      </x:c>
      <x:c r="H18" s="160" t="str">
        <x:v>赛后只补赛果、状态与实际回收；赔率和金额严禁修改。</x:v>
      </x:c>
      <x:c r="I18" s="160"/>
      <x:c r="J18" s="160"/>
      <x:c r="K18" s="160"/>
      <x:c r="L18" s="160"/>
      <x:c r="M18" s="160"/>
      <x:c r="N18" s="160"/>
    </x:row>
    <x:row r="19" ht="30" customHeight="1">
      <x:c r="A19" s="160" t="str">
        <x:v>当前表内净盈亏</x:v>
      </x:c>
      <x:c r="B19" s="161" t="n">
        <x:f>K8</x:f>
        <x:v>-13.759999999999998</x:v>
      </x:c>
      <x:c r="C19" s="160" t="str">
        <x:v>仅统计已录入6张锁单</x:v>
      </x:c>
      <x:c r="D19" s="160"/>
      <x:c r="E19" s="162" t="str">
        <x:v>已核</x:v>
      </x:c>
      <x:c r="F19" s="170" t="str">
        <x:v>2</x:v>
      </x:c>
      <x:c r="G19" s="172" t="str">
        <x:v>一场一个主维度</x:v>
      </x:c>
      <x:c r="H19" s="160" t="str">
        <x:v>胜平负、让球、大小球、BTTS、球队进球数、波胆先排序再选择。</x:v>
      </x:c>
      <x:c r="I19" s="160"/>
      <x:c r="J19" s="160"/>
      <x:c r="K19" s="160"/>
      <x:c r="L19" s="160"/>
      <x:c r="M19" s="160"/>
      <x:c r="N19" s="160"/>
    </x:row>
    <x:row r="20" ht="30" customHeight="1">
      <x:c r="A20" s="160" t="str">
        <x:v>历史未录入调整</x:v>
      </x:c>
      <x:c r="B20" s="161" t="n">
        <x:f>B21-(E5+B19)</x:f>
        <x:v>-34.81000000000001</x:v>
      </x:c>
      <x:c r="C20" s="160" t="str">
        <x:v>当前余额－（初始本金＋表内净盈亏）</x:v>
      </x:c>
      <x:c r="D20" s="160"/>
      <x:c r="E20" s="162" t="str">
        <x:v>历史结转</x:v>
      </x:c>
      <x:c r="F20" s="170" t="str">
        <x:v>3</x:v>
      </x:c>
      <x:c r="G20" s="172" t="str">
        <x:v>同场重复暴露</x:v>
      </x:c>
      <x:c r="H20" s="160" t="str">
        <x:v>触发即标红；只允许受控主仓＋小额博上，不得重叠加码。</x:v>
      </x:c>
      <x:c r="I20" s="160"/>
      <x:c r="J20" s="160"/>
      <x:c r="K20" s="160"/>
      <x:c r="L20" s="160"/>
      <x:c r="M20" s="160"/>
      <x:c r="N20" s="160"/>
    </x:row>
    <x:row r="21" ht="30" customHeight="1">
      <x:c r="A21" s="160" t="str">
        <x:v>当前账户余额</x:v>
      </x:c>
      <x:c r="B21" s="161" t="n">
        <x:v>51.43</x:v>
      </x:c>
      <x:c r="C21" s="160" t="str">
        <x:v>以平台真实余额为准</x:v>
      </x:c>
      <x:c r="D21" s="160"/>
      <x:c r="E21" s="162" t="str">
        <x:v>已核</x:v>
      </x:c>
      <x:c r="F21" s="170" t="str">
        <x:v>4</x:v>
      </x:c>
      <x:c r="G21" s="172" t="str">
        <x:v>波胆定位</x:v>
      </x:c>
      <x:c r="H21" s="160" t="str">
        <x:v>只做博上层，小额，不承担保本或回本任务。</x:v>
      </x:c>
      <x:c r="I21" s="160"/>
      <x:c r="J21" s="160"/>
      <x:c r="K21" s="160"/>
      <x:c r="L21" s="160"/>
      <x:c r="M21" s="160"/>
      <x:c r="N21" s="160"/>
    </x:row>
    <x:row r="22" ht="30" customHeight="1">
      <x:c r="A22" s="160" t="str">
        <x:v>本金修复缺口</x:v>
      </x:c>
      <x:c r="B22" s="161" t="n">
        <x:f>E5-B21</x:f>
        <x:v>48.57</x:v>
      </x:c>
      <x:c r="C22" s="160" t="str">
        <x:v>100－当前账户余额</x:v>
      </x:c>
      <x:c r="D22" s="160"/>
      <x:c r="E22" s="162" t="str">
        <x:v>修复中</x:v>
      </x:c>
      <x:c r="F22" s="170" t="str">
        <x:v>5</x:v>
      </x:c>
      <x:c r="G22" s="172" t="str">
        <x:v>利润池纪律</x:v>
      </x:c>
      <x:c r="H22" s="160" t="str">
        <x:v>回到100后锁定原始本金；利润分仓滚动，不一轮梭哈。</x:v>
      </x:c>
      <x:c r="I22" s="160"/>
      <x:c r="J22" s="160"/>
      <x:c r="K22" s="160"/>
      <x:c r="L22" s="160"/>
      <x:c r="M22" s="160"/>
      <x:c r="N22" s="160"/>
    </x:row>
    <x:row r="24">
      <x:c r="A24" s="173"/>
      <x:c r="B24" s="173"/>
      <x:c r="C24" s="173"/>
      <x:c r="D24" s="173"/>
      <x:c r="E24" s="173"/>
      <x:c r="F24" s="173"/>
      <x:c r="G24" s="173"/>
      <x:c r="H24" s="173"/>
      <x:c r="I24" s="173"/>
      <x:c r="J24" s="173"/>
      <x:c r="K24" s="173"/>
      <x:c r="L24" s="173"/>
      <x:c r="M24" s="173"/>
      <x:c r="N24" s="173"/>
      <x:c r="P24" t="str">
        <x:v>注单ID</x:v>
      </x:c>
      <x:c r="Q24" t="str">
        <x:v>累计盈亏</x:v>
      </x:c>
    </x:row>
    <x:row r="25">
      <x:c r="A25" s="173"/>
      <x:c r="B25" s="173"/>
      <x:c r="C25" s="173"/>
      <x:c r="D25" s="173"/>
      <x:c r="E25" s="173"/>
      <x:c r="F25" s="173"/>
      <x:c r="G25" s="173"/>
      <x:c r="H25" s="173"/>
      <x:c r="I25" s="173"/>
      <x:c r="J25" s="173"/>
      <x:c r="K25" s="173"/>
      <x:c r="L25" s="173"/>
      <x:c r="M25" s="173"/>
      <x:c r="N25" s="173"/>
      <x:c r="P25" t="str">
        <x:v>B001</x:v>
      </x:c>
      <x:c r="Q25" t="n">
        <x:v>-6.4</x:v>
      </x:c>
    </x:row>
    <x:row r="26">
      <x:c r="A26" s="173"/>
      <x:c r="B26" s="173"/>
      <x:c r="C26" s="173"/>
      <x:c r="D26" s="173"/>
      <x:c r="E26" s="173"/>
      <x:c r="F26" s="173"/>
      <x:c r="G26" s="173"/>
      <x:c r="H26" s="173"/>
      <x:c r="I26" s="173"/>
      <x:c r="J26" s="173"/>
      <x:c r="K26" s="173"/>
      <x:c r="L26" s="173"/>
      <x:c r="M26" s="173"/>
      <x:c r="N26" s="173"/>
      <x:c r="P26" t="str">
        <x:v>B002</x:v>
      </x:c>
      <x:c r="Q26" t="n">
        <x:v>-10</x:v>
      </x:c>
    </x:row>
    <x:row r="27">
      <x:c r="A27" s="173"/>
      <x:c r="B27" s="173"/>
      <x:c r="C27" s="173"/>
      <x:c r="D27" s="173"/>
      <x:c r="E27" s="173"/>
      <x:c r="F27" s="173"/>
      <x:c r="G27" s="173"/>
      <x:c r="H27" s="173"/>
      <x:c r="I27" s="173"/>
      <x:c r="J27" s="173"/>
      <x:c r="K27" s="173"/>
      <x:c r="L27" s="173"/>
      <x:c r="M27" s="173"/>
      <x:c r="N27" s="173"/>
      <x:c r="P27" t="str">
        <x:v>B003</x:v>
      </x:c>
      <x:c r="Q27" t="n">
        <x:v>-12.1</x:v>
      </x:c>
    </x:row>
    <x:row r="28">
      <x:c r="A28" s="173"/>
      <x:c r="B28" s="173"/>
      <x:c r="C28" s="173"/>
      <x:c r="D28" s="173"/>
      <x:c r="E28" s="173"/>
      <x:c r="F28" s="173"/>
      <x:c r="G28" s="173"/>
      <x:c r="H28" s="173"/>
      <x:c r="I28" s="173"/>
      <x:c r="J28" s="173"/>
      <x:c r="K28" s="173"/>
      <x:c r="L28" s="173"/>
      <x:c r="M28" s="173"/>
      <x:c r="N28" s="173"/>
      <x:c r="P28" t="str">
        <x:v>B004</x:v>
      </x:c>
      <x:c r="Q28" t="n">
        <x:v>-14.2</x:v>
      </x:c>
    </x:row>
    <x:row r="29">
      <x:c r="A29" s="173"/>
      <x:c r="B29" s="173"/>
      <x:c r="C29" s="173"/>
      <x:c r="D29" s="173"/>
      <x:c r="E29" s="173"/>
      <x:c r="F29" s="173"/>
      <x:c r="G29" s="173"/>
      <x:c r="H29" s="173"/>
      <x:c r="I29" s="173"/>
      <x:c r="J29" s="173"/>
      <x:c r="K29" s="173"/>
      <x:c r="L29" s="173"/>
      <x:c r="M29" s="173"/>
      <x:c r="N29" s="173"/>
      <x:c r="P29" t="str">
        <x:v>B005</x:v>
      </x:c>
      <x:c r="Q29" t="n">
        <x:v>-11.76</x:v>
      </x:c>
    </x:row>
    <x:row r="30">
      <x:c r="A30" s="173"/>
      <x:c r="B30" s="173"/>
      <x:c r="C30" s="173"/>
      <x:c r="D30" s="173"/>
      <x:c r="E30" s="173"/>
      <x:c r="F30" s="173"/>
      <x:c r="G30" s="173"/>
      <x:c r="H30" s="173"/>
      <x:c r="I30" s="173"/>
      <x:c r="J30" s="173"/>
      <x:c r="K30" s="173"/>
      <x:c r="L30" s="173"/>
      <x:c r="M30" s="173"/>
      <x:c r="N30" s="173"/>
      <x:c r="P30" t="str">
        <x:v>B006</x:v>
      </x:c>
      <x:c r="Q30" t="n">
        <x:v>-13.76</x:v>
      </x:c>
    </x:row>
    <x:row r="31">
      <x:c r="A31" s="173"/>
      <x:c r="B31" s="173"/>
      <x:c r="C31" s="173"/>
      <x:c r="D31" s="173"/>
      <x:c r="E31" s="173"/>
      <x:c r="F31" s="173"/>
      <x:c r="G31" s="173"/>
      <x:c r="H31" s="173"/>
      <x:c r="I31" s="173"/>
      <x:c r="J31" s="173"/>
      <x:c r="K31" s="173"/>
      <x:c r="L31" s="173"/>
      <x:c r="M31" s="173"/>
      <x:c r="N31" s="173"/>
    </x:row>
    <x:row r="32">
      <x:c r="A32" s="173"/>
      <x:c r="B32" s="173"/>
      <x:c r="C32" s="173"/>
      <x:c r="D32" s="173"/>
      <x:c r="E32" s="173"/>
      <x:c r="F32" s="173"/>
      <x:c r="G32" s="173"/>
      <x:c r="H32" s="173"/>
      <x:c r="I32" s="173"/>
      <x:c r="J32" s="173"/>
      <x:c r="K32" s="173"/>
      <x:c r="L32" s="173"/>
      <x:c r="M32" s="173"/>
      <x:c r="N32" s="173"/>
    </x:row>
    <x:row r="33">
      <x:c r="A33" s="173"/>
      <x:c r="B33" s="173"/>
      <x:c r="C33" s="173"/>
      <x:c r="D33" s="173"/>
      <x:c r="E33" s="173"/>
      <x:c r="F33" s="173"/>
      <x:c r="G33" s="173"/>
      <x:c r="H33" s="173"/>
      <x:c r="I33" s="173"/>
      <x:c r="J33" s="173"/>
      <x:c r="K33" s="173"/>
      <x:c r="L33" s="173"/>
      <x:c r="M33" s="173"/>
      <x:c r="N33" s="173"/>
    </x:row>
    <x:row r="34">
      <x:c r="A34" s="173"/>
      <x:c r="B34" s="173"/>
      <x:c r="C34" s="173"/>
      <x:c r="D34" s="173"/>
      <x:c r="E34" s="173"/>
      <x:c r="F34" s="173"/>
      <x:c r="G34" s="173"/>
      <x:c r="H34" s="173"/>
      <x:c r="I34" s="173"/>
      <x:c r="J34" s="173"/>
      <x:c r="K34" s="173"/>
      <x:c r="L34" s="173"/>
      <x:c r="M34" s="173"/>
      <x:c r="N34" s="173"/>
    </x:row>
    <x:row r="35">
      <x:c r="A35" s="173"/>
      <x:c r="B35" s="173"/>
      <x:c r="C35" s="173"/>
      <x:c r="D35" s="173"/>
      <x:c r="E35" s="173"/>
      <x:c r="F35" s="173"/>
      <x:c r="G35" s="173"/>
      <x:c r="H35" s="173"/>
      <x:c r="I35" s="173"/>
      <x:c r="J35" s="173"/>
      <x:c r="K35" s="173"/>
      <x:c r="L35" s="173"/>
      <x:c r="M35" s="173"/>
      <x:c r="N35" s="173"/>
    </x:row>
    <x:row r="36">
      <x:c r="A36" s="173"/>
      <x:c r="B36" s="173"/>
      <x:c r="C36" s="173"/>
      <x:c r="D36" s="173"/>
      <x:c r="E36" s="173"/>
      <x:c r="F36" s="173"/>
      <x:c r="G36" s="173"/>
      <x:c r="H36" s="173"/>
      <x:c r="I36" s="173"/>
      <x:c r="J36" s="173"/>
      <x:c r="K36" s="173"/>
      <x:c r="L36" s="173"/>
      <x:c r="M36" s="173"/>
      <x:c r="N36" s="173"/>
    </x:row>
    <x:row r="37">
      <x:c r="A37" s="173"/>
      <x:c r="B37" s="173"/>
      <x:c r="C37" s="173"/>
      <x:c r="D37" s="173"/>
      <x:c r="E37" s="173"/>
      <x:c r="F37" s="173"/>
      <x:c r="G37" s="173"/>
      <x:c r="H37" s="173"/>
      <x:c r="I37" s="173"/>
      <x:c r="J37" s="173"/>
      <x:c r="K37" s="173"/>
      <x:c r="L37" s="173"/>
      <x:c r="M37" s="173"/>
      <x:c r="N37" s="173"/>
    </x:row>
    <x:row r="38">
      <x:c r="A38" s="173"/>
      <x:c r="B38" s="173"/>
      <x:c r="C38" s="173"/>
      <x:c r="D38" s="173"/>
      <x:c r="E38" s="173"/>
      <x:c r="F38" s="173"/>
      <x:c r="G38" s="173"/>
      <x:c r="H38" s="173"/>
      <x:c r="I38" s="173"/>
      <x:c r="J38" s="173"/>
      <x:c r="K38" s="173"/>
      <x:c r="L38" s="173"/>
      <x:c r="M38" s="173"/>
      <x:c r="N38" s="173"/>
    </x:row>
    <x:row r="39">
      <x:c r="A39" s="173"/>
      <x:c r="B39" s="173"/>
      <x:c r="C39" s="173"/>
      <x:c r="D39" s="173"/>
      <x:c r="E39" s="173"/>
      <x:c r="F39" s="173"/>
      <x:c r="G39" s="173"/>
      <x:c r="H39" s="173"/>
      <x:c r="I39" s="173"/>
      <x:c r="J39" s="173"/>
      <x:c r="K39" s="173"/>
      <x:c r="L39" s="173"/>
      <x:c r="M39" s="173"/>
      <x:c r="N39" s="173"/>
    </x:row>
    <x:row r="40">
      <x:c r="A40" s="173"/>
      <x:c r="B40" s="173"/>
      <x:c r="C40" s="173"/>
      <x:c r="D40" s="173"/>
      <x:c r="E40" s="173"/>
      <x:c r="F40" s="173"/>
      <x:c r="G40" s="173"/>
      <x:c r="H40" s="173"/>
      <x:c r="I40" s="173"/>
      <x:c r="J40" s="173"/>
      <x:c r="K40" s="173"/>
      <x:c r="L40" s="173"/>
      <x:c r="M40" s="173"/>
      <x:c r="N40" s="173"/>
    </x:row>
  </x:sheetData>
  <x:mergeCells>
    <x:mergeCell ref="A1:N1"/>
    <x:mergeCell ref="A3:N3"/>
    <x:mergeCell ref="A17:E17"/>
    <x:mergeCell ref="F17:N17"/>
    <x:mergeCell ref="C19:D19"/>
    <x:mergeCell ref="C20:D20"/>
    <x:mergeCell ref="C21:D21"/>
    <x:mergeCell ref="C22:D22"/>
    <x:mergeCell ref="H18:N18"/>
    <x:mergeCell ref="H19:N19"/>
    <x:mergeCell ref="H20:N20"/>
    <x:mergeCell ref="H21:N21"/>
    <x:mergeCell ref="H22:N22"/>
    <x:mergeCell ref="A2:N2"/>
  </x:mergeCells>
  <x:conditionalFormatting sqref="D19:D22">
    <x:cfRule type="expression" dxfId="33" priority="1">
      <x:formula>D19="已核"</x:formula>
    </x:cfRule>
    <x:cfRule type="expression" dxfId="34" priority="2">
      <x:formula>D19="修复中"</x:formula>
    </x:cfRule>
  </x:conditionalFormatting>
  <x:conditionalFormatting sqref="K8:K8">
    <x:cfRule type="expression" dxfId="35" priority="3">
      <x:formula>K8&gt;0</x:formula>
    </x:cfRule>
    <x:cfRule type="expression" dxfId="36" priority="4">
      <x:formula>K8&lt;0</x:formula>
    </x:cfRule>
  </x:conditionalFormatting>
  <x:conditionalFormatting sqref="B11:H11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11:K11">
    <x:cfRule type="dataBar" priority="6">
      <x:dataBar>
        <x:cfvo type="min"/>
        <x:cfvo type="max"/>
        <x:color rgb="FFD92D20"/>
      </x:dataBar>
      <x:extLst>
        <x:ext xmlns:x14="http://schemas.microsoft.com/office/spreadsheetml/2009/9/main" uri="{B025F937-C7B1-47D3-B67F-A62EFF666E3E}">
          <x14:id>{523FA3EE-2A8F-F2D9-6AC5-093ED0500F6B}</x14:id>
        </x:ext>
      </x:extLst>
    </x:cfRule>
  </x:conditionalFormatting>
  <x:conditionalFormatting sqref="E19:E22">
    <x:cfRule type="expression" dxfId="37" priority="7">
      <x:formula>E19="已核"</x:formula>
    </x:cfRule>
    <x:cfRule type="expression" dxfId="38" priority="8">
      <x:formula>E19="修复中"</x:formula>
    </x:cfRule>
    <x:cfRule type="expression" dxfId="39" priority="9">
      <x:formula>E19="历史结转"</x:formula>
    </x:cfRule>
  </x:conditionalFormatting>
  <x:pageMargins left="0.7" right="0.7" top="0.75" bottom="0.75" header="0.3" footer="0.3"/>
  <x:drawing xmlns:r="http://schemas.openxmlformats.org/officeDocument/2006/relationships" r:id="R431db635d73b40c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523FA3EE-2A8F-F2D9-6AC5-093ED0500F6B}">
            <x14:dataBar gradient="1">
              <x14:cfvo type="min"/>
              <x14:cfvo type="max"/>
              <x14:fillColor rgb="FFD92D20"/>
            </x14:dataBar>
          </x14:cfRule>
          <xm:sqref>K11:K11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4" hidden="0" customWidth="1"/>
    <x:col min="4" max="4" width="12" hidden="0" customWidth="1"/>
    <x:col min="5" max="5" width="12" hidden="0" customWidth="1"/>
    <x:col min="6" max="6" width="26" hidden="0" customWidth="1"/>
    <x:col min="7" max="7" width="11" hidden="0" customWidth="1"/>
    <x:col min="8" max="8" width="11" hidden="0" customWidth="1"/>
    <x:col min="9" max="9" width="26" hidden="0" customWidth="1"/>
    <x:col min="10" max="10" width="10" hidden="0" customWidth="1"/>
    <x:col min="11" max="11" width="12" hidden="0" customWidth="1"/>
    <x:col min="12" max="12" width="12" hidden="0" customWidth="1"/>
    <x:col min="13" max="13" width="34" hidden="0" customWidth="1"/>
    <x:col min="14" max="14" width="10" hidden="0" customWidth="1"/>
    <x:col min="15" max="15" width="16" hidden="0" customWidth="1"/>
    <x:col min="16" max="16" width="16" hidden="0" customWidth="1"/>
    <x:col min="17" max="17" width="12" hidden="0" customWidth="1"/>
    <x:col min="18" max="18" width="12" hidden="0" customWidth="1"/>
    <x:col min="19" max="19" width="12" hidden="0" customWidth="1"/>
    <x:col min="20" max="20" width="36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32" customHeight="1">
      <x:c r="A1" s="99" t="str">
        <x:v>01｜锁单与结算明细｜锁单后冻结，仅赛后补赛果与回收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</x:row>
    <x:row r="2" ht="22" customHeight="1">
      <x:c r="A2" s="103" t="str">
        <x:v>锁单后冻结；赛后仅补赛果、状态、实际回收和复盘字段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 s="103"/>
      <x:c r="P2" s="103"/>
      <x:c r="Q2" s="103"/>
      <x:c r="R2" s="103"/>
      <x:c r="S2" s="103"/>
      <x:c r="T2" s="103"/>
      <x:c r="U2" s="103"/>
      <x:c r="V2" s="103"/>
      <x:c r="W2" s="103"/>
    </x:row>
    <x:row r="3" ht="34" customHeight="1">
      <x:c r="A3" s="153" t="str">
        <x:v>注单ID</x:v>
      </x:c>
      <x:c r="B3" s="153" t="str">
        <x:v>比赛ID与对阵</x:v>
      </x:c>
      <x:c r="C3" s="153" t="str">
        <x:v>锁单时间戳</x:v>
      </x:c>
      <x:c r="D3" s="153" t="str">
        <x:v>投注层标签</x:v>
      </x:c>
      <x:c r="E3" s="153" t="str">
        <x:v>主维度玩法</x:v>
      </x:c>
      <x:c r="F3" s="153" t="str">
        <x:v>投注方向</x:v>
      </x:c>
      <x:c r="G3" s="153" t="str">
        <x:v>下注赔率</x:v>
      </x:c>
      <x:c r="H3" s="153" t="str">
        <x:v>下注金额</x:v>
      </x:c>
      <x:c r="I3" s="153" t="str">
        <x:v>赛果</x:v>
      </x:c>
      <x:c r="J3" s="153" t="str">
        <x:v>注单状态</x:v>
      </x:c>
      <x:c r="K3" s="153" t="str">
        <x:v>实际回收金额</x:v>
      </x:c>
      <x:c r="L3" s="153" t="str">
        <x:v>盈亏</x:v>
      </x:c>
      <x:c r="M3" s="153" t="str">
        <x:v>同场重复暴露检查</x:v>
      </x:c>
      <x:c r="N3" s="153" t="str">
        <x:v>锁单冻结</x:v>
      </x:c>
      <x:c r="O3" s="153" t="str">
        <x:v>模型逻辑分类</x:v>
      </x:c>
      <x:c r="P3" s="153" t="str">
        <x:v>随机事件标记</x:v>
      </x:c>
      <x:c r="Q3" s="175" t="str">
        <x:v>累计盈亏</x:v>
      </x:c>
      <x:c r="R3" s="175" t="str">
        <x:v>累计峰值</x:v>
      </x:c>
      <x:c r="S3" s="175" t="str">
        <x:v>回撤</x:v>
      </x:c>
      <x:c r="T3" s="175" t="str">
        <x:v>备注</x:v>
      </x:c>
      <x:c r="U3" s="175" t="str">
        <x:v>命中系数</x:v>
      </x:c>
      <x:c r="V3" s="175" t="str">
        <x:v>有效逻辑系数</x:v>
      </x:c>
      <x:c r="W3" s="175" t="str">
        <x:v>是否已结</x:v>
      </x:c>
    </x:row>
    <x:row r="4" ht="44" customHeight="1">
      <x:c r="A4" s="160" t="str">
        <x:v>B001</x:v>
      </x:c>
      <x:c r="B4" s="160" t="str">
        <x:v>M002/M003/M005/M004｜欧战资格赛｜基辅胜×谢里夫胜×海杜克胜×索陆军胜</x:v>
      </x:c>
      <x:c r="C4" s="160" t="str">
        <x:v>未精确记录｜赛前锁单</x:v>
      </x:c>
      <x:c r="D4" s="160" t="str">
        <x:v>保本层</x:v>
      </x:c>
      <x:c r="E4" s="160" t="str">
        <x:v>胜平负</x:v>
      </x:c>
      <x:c r="F4" s="160" t="str">
        <x:v>四场主胜串关</x:v>
      </x:c>
      <x:c r="G4" s="161" t="n">
        <x:v>2.48</x:v>
      </x:c>
      <x:c r="H4" s="161" t="n">
        <x:v>6.4</x:v>
      </x:c>
      <x:c r="I4" s="161" t="str">
        <x:v>基辅0-0；谢里夫0-0；海杜克2-0；索陆军3-2</x:v>
      </x:c>
      <x:c r="J4" s="197" t="str">
        <x:v>黑</x:v>
      </x:c>
      <x:c r="K4" s="161" t="n">
        <x:v>0</x:v>
      </x:c>
      <x:c r="L4" s="203" t="n">
        <x:f>IF(A4="","",K4-H4)</x:f>
        <x:v>-6.4</x:v>
      </x:c>
      <x:c r="M4" s="160" t="str">
        <x:v>是｜四场串关，且与M002/M003波胆重叠</x:v>
      </x:c>
      <x:c r="N4" s="160" t="str">
        <x:v>已冻结</x:v>
      </x:c>
      <x:c r="O4" s="200" t="str">
        <x:v>逻辑错误</x:v>
      </x:c>
      <x:c r="P4" s="160" t="str">
        <x:v>无决定性随机事件</x:v>
      </x:c>
      <x:c r="Q4" s="176" t="n">
        <x:f>IF(A4="","",SUM($L$4:L4))</x:f>
        <x:v>-6.4</x:v>
      </x:c>
      <x:c r="R4" s="176" t="n">
        <x:f>IF(A4="","",MAX(0,$Q$4:Q4))</x:f>
        <x:v>0</x:v>
      </x:c>
      <x:c r="S4" s="176" t="n">
        <x:f>IF(A4="","",Q4-R4)</x:f>
        <x:v>-6.4</x:v>
      </x:c>
      <x:c r="T4" s="177" t="str">
        <x:v>基辅、谢里夫两个同构热门同时做命门</x:v>
      </x:c>
      <x:c r="U4" s="177" t="n">
        <x:f>IF(A4="","",IF(J4="红",1,IF(J4="半红",0.5,IF(J4="走水","",IF(J4="半黑",0,IF(J4="黑",0,""))))))</x:f>
        <x:v>0</x:v>
      </x:c>
      <x:c r="V4" s="177" t="n">
        <x:f>IF(A4="","",IF(O4="逻辑正确",1,IF(O4="局部正确",0.5,IF(O4="逻辑错误",0,""))))</x:f>
        <x:v>0</x:v>
      </x:c>
      <x:c r="W4" s="177" t="n">
        <x:f>IF(A4="","",IF(OR(J4="红",J4="黑",J4="走水",J4="半红",J4="半黑"),1,0))</x:f>
        <x:v>1</x:v>
      </x:c>
    </x:row>
    <x:row r="5" ht="44" customHeight="1">
      <x:c r="A5" s="160" t="str">
        <x:v>B002</x:v>
      </x:c>
      <x:c r="B5" s="160" t="str">
        <x:v>M002/M003/M005｜欧战资格赛｜基辅胜×谢里夫胜×海杜克胜</x:v>
      </x:c>
      <x:c r="C5" s="160" t="str">
        <x:v>未精确记录｜赛前锁单</x:v>
      </x:c>
      <x:c r="D5" s="160" t="str">
        <x:v>中轴层</x:v>
      </x:c>
      <x:c r="E5" s="160" t="str">
        <x:v>胜平负</x:v>
      </x:c>
      <x:c r="F5" s="160" t="str">
        <x:v>三场主胜串关</x:v>
      </x:c>
      <x:c r="G5" s="161" t="n">
        <x:v>2.16</x:v>
      </x:c>
      <x:c r="H5" s="161" t="n">
        <x:v>3.6</x:v>
      </x:c>
      <x:c r="I5" s="161" t="str">
        <x:v>基辅0-0；谢里夫0-0；海杜克2-0</x:v>
      </x:c>
      <x:c r="J5" s="197" t="str">
        <x:v>黑</x:v>
      </x:c>
      <x:c r="K5" s="161" t="n">
        <x:v>0</x:v>
      </x:c>
      <x:c r="L5" s="203" t="n">
        <x:f>IF(A5="","",K5-H5)</x:f>
        <x:v>-3.6</x:v>
      </x:c>
      <x:c r="M5" s="160" t="str">
        <x:v>是｜与M002/M003波胆重叠</x:v>
      </x:c>
      <x:c r="N5" s="160" t="str">
        <x:v>已冻结</x:v>
      </x:c>
      <x:c r="O5" s="200" t="str">
        <x:v>逻辑错误</x:v>
      </x:c>
      <x:c r="P5" s="160" t="str">
        <x:v>无决定性随机事件</x:v>
      </x:c>
      <x:c r="Q5" s="176" t="n">
        <x:f>IF(A5="","",SUM($L$4:L5))</x:f>
        <x:v>-10</x:v>
      </x:c>
      <x:c r="R5" s="176" t="n">
        <x:f>IF(A5="","",MAX(0,$Q$4:Q5))</x:f>
        <x:v>0</x:v>
      </x:c>
      <x:c r="S5" s="176" t="n">
        <x:f>IF(A5="","",Q5-R5)</x:f>
        <x:v>-10</x:v>
      </x:c>
      <x:c r="T5" s="177" t="str">
        <x:v>同构热门风险过高</x:v>
      </x:c>
      <x:c r="U5" s="177" t="n">
        <x:f>IF(A5="","",IF(J5="红",1,IF(J5="半红",0.5,IF(J5="走水","",IF(J5="半黑",0,IF(J5="黑",0,""))))))</x:f>
        <x:v>0</x:v>
      </x:c>
      <x:c r="V5" s="177" t="n">
        <x:f>IF(A5="","",IF(O5="逻辑正确",1,IF(O5="局部正确",0.5,IF(O5="逻辑错误",0,""))))</x:f>
        <x:v>0</x:v>
      </x:c>
      <x:c r="W5" s="177" t="n">
        <x:f>IF(A5="","",IF(OR(J5="红",J5="黑",J5="走水",J5="半红",J5="半黑"),1,0))</x:f>
        <x:v>1</x:v>
      </x:c>
    </x:row>
    <x:row r="6" ht="44" customHeight="1">
      <x:c r="A6" s="160" t="str">
        <x:v>B003</x:v>
      </x:c>
      <x:c r="B6" s="160" t="str">
        <x:v>M003｜欧战资格赛｜谢里夫 vs 亚穆尼积</x:v>
      </x:c>
      <x:c r="C6" s="160" t="str">
        <x:v>未精确记录｜赛前锁单</x:v>
      </x:c>
      <x:c r="D6" s="160" t="str">
        <x:v>博上层</x:v>
      </x:c>
      <x:c r="E6" s="160" t="str">
        <x:v>正确比分</x:v>
      </x:c>
      <x:c r="F6" s="160" t="str">
        <x:v>谢里夫2-0</x:v>
      </x:c>
      <x:c r="G6" s="161" t="n">
        <x:v>6.5</x:v>
      </x:c>
      <x:c r="H6" s="161" t="n">
        <x:v>2.1</x:v>
      </x:c>
      <x:c r="I6" s="161" t="str">
        <x:v>0-0</x:v>
      </x:c>
      <x:c r="J6" s="197" t="str">
        <x:v>黑</x:v>
      </x:c>
      <x:c r="K6" s="161" t="n">
        <x:v>0</x:v>
      </x:c>
      <x:c r="L6" s="203" t="n">
        <x:f>IF(A6="","",K6-H6)</x:f>
        <x:v>-2.1</x:v>
      </x:c>
      <x:c r="M6" s="160" t="str">
        <x:v>是｜同场胜平负+波胆</x:v>
      </x:c>
      <x:c r="N6" s="160" t="str">
        <x:v>已冻结</x:v>
      </x:c>
      <x:c r="O6" s="200" t="str">
        <x:v>逻辑错误</x:v>
      </x:c>
      <x:c r="P6" s="160" t="str">
        <x:v>无决定性随机事件</x:v>
      </x:c>
      <x:c r="Q6" s="176" t="n">
        <x:f>IF(A6="","",SUM($L$4:L6))</x:f>
        <x:v>-12.1</x:v>
      </x:c>
      <x:c r="R6" s="176" t="n">
        <x:f>IF(A6="","",MAX(0,$Q$4:Q6))</x:f>
        <x:v>0</x:v>
      </x:c>
      <x:c r="S6" s="176" t="n">
        <x:f>IF(A6="","",Q6-R6)</x:f>
        <x:v>-12.1</x:v>
      </x:c>
      <x:c r="T6" s="177" t="str">
        <x:v>BTTS No方向对，但强队进球数判断错误</x:v>
      </x:c>
      <x:c r="U6" s="177" t="n">
        <x:f>IF(A6="","",IF(J6="红",1,IF(J6="半红",0.5,IF(J6="走水","",IF(J6="半黑",0,IF(J6="黑",0,""))))))</x:f>
        <x:v>0</x:v>
      </x:c>
      <x:c r="V6" s="177" t="n">
        <x:f>IF(A6="","",IF(O6="逻辑正确",1,IF(O6="局部正确",0.5,IF(O6="逻辑错误",0,""))))</x:f>
        <x:v>0</x:v>
      </x:c>
      <x:c r="W6" s="177" t="n">
        <x:f>IF(A6="","",IF(OR(J6="红",J6="黑",J6="走水",J6="半红",J6="半黑"),1,0))</x:f>
        <x:v>1</x:v>
      </x:c>
    </x:row>
    <x:row r="7" ht="44" customHeight="1">
      <x:c r="A7" s="160" t="str">
        <x:v>B004</x:v>
      </x:c>
      <x:c r="B7" s="160" t="str">
        <x:v>M002｜欧战资格赛｜基辅迪纳摩 vs 克卢日大学</x:v>
      </x:c>
      <x:c r="C7" s="160" t="str">
        <x:v>未精确记录｜赛前锁单</x:v>
      </x:c>
      <x:c r="D7" s="160" t="str">
        <x:v>博上层</x:v>
      </x:c>
      <x:c r="E7" s="160" t="str">
        <x:v>正确比分</x:v>
      </x:c>
      <x:c r="F7" s="160" t="str">
        <x:v>基辅2-0</x:v>
      </x:c>
      <x:c r="G7" s="161" t="n">
        <x:v>8</x:v>
      </x:c>
      <x:c r="H7" s="161" t="n">
        <x:v>2.1</x:v>
      </x:c>
      <x:c r="I7" s="161" t="str">
        <x:v>0-0</x:v>
      </x:c>
      <x:c r="J7" s="197" t="str">
        <x:v>黑</x:v>
      </x:c>
      <x:c r="K7" s="161" t="n">
        <x:v>0</x:v>
      </x:c>
      <x:c r="L7" s="203" t="n">
        <x:f>IF(A7="","",K7-H7)</x:f>
        <x:v>-2.1</x:v>
      </x:c>
      <x:c r="M7" s="160" t="str">
        <x:v>是｜同场胜平负+波胆</x:v>
      </x:c>
      <x:c r="N7" s="160" t="str">
        <x:v>已冻结</x:v>
      </x:c>
      <x:c r="O7" s="200" t="str">
        <x:v>逻辑错误</x:v>
      </x:c>
      <x:c r="P7" s="160" t="str">
        <x:v>无决定性随机事件</x:v>
      </x:c>
      <x:c r="Q7" s="176" t="n">
        <x:f>IF(A7="","",SUM($L$4:L7))</x:f>
        <x:v>-14.2</x:v>
      </x:c>
      <x:c r="R7" s="176" t="n">
        <x:f>IF(A7="","",MAX(0,$Q$4:Q7))</x:f>
        <x:v>0</x:v>
      </x:c>
      <x:c r="S7" s="176" t="n">
        <x:f>IF(A7="","",Q7-R7)</x:f>
        <x:v>-14.2</x:v>
      </x:c>
      <x:c r="T7" s="177" t="str">
        <x:v>BTTS No方向对，但强队进球数判断错误</x:v>
      </x:c>
      <x:c r="U7" s="177" t="n">
        <x:f>IF(A7="","",IF(J7="红",1,IF(J7="半红",0.5,IF(J7="走水","",IF(J7="半黑",0,IF(J7="黑",0,""))))))</x:f>
        <x:v>0</x:v>
      </x:c>
      <x:c r="V7" s="177" t="n">
        <x:f>IF(A7="","",IF(O7="逻辑正确",1,IF(O7="局部正确",0.5,IF(O7="逻辑错误",0,""))))</x:f>
        <x:v>0</x:v>
      </x:c>
      <x:c r="W7" s="177" t="n">
        <x:f>IF(A7="","",IF(OR(J7="红",J7="黑",J7="走水",J7="半红",J7="半黑"),1,0))</x:f>
        <x:v>1</x:v>
      </x:c>
    </x:row>
    <x:row r="8" ht="44" customHeight="1">
      <x:c r="A8" s="160" t="str">
        <x:v>B005</x:v>
      </x:c>
      <x:c r="B8" s="160" t="str">
        <x:v>M007｜世界杯｜法国 vs 摩洛哥</x:v>
      </x:c>
      <x:c r="C8" s="160" t="str">
        <x:v>2026-07-10｜赛前约5分钟</x:v>
      </x:c>
      <x:c r="D8" s="160" t="str">
        <x:v>中轴层</x:v>
      </x:c>
      <x:c r="E8" s="160" t="str">
        <x:v>大小球</x:v>
      </x:c>
      <x:c r="F8" s="160" t="str">
        <x:v>小2.5/3</x:v>
      </x:c>
      <x:c r="G8" s="161" t="n">
        <x:v>1.61</x:v>
      </x:c>
      <x:c r="H8" s="161" t="n">
        <x:v>4</x:v>
      </x:c>
      <x:c r="I8" s="161" t="str">
        <x:v>法国2-0摩洛哥</x:v>
      </x:c>
      <x:c r="J8" s="206" t="str">
        <x:v>红</x:v>
      </x:c>
      <x:c r="K8" s="161" t="n">
        <x:v>6.44</x:v>
      </x:c>
      <x:c r="L8" s="212" t="n">
        <x:f>IF(A8="","",K8-H8)</x:f>
        <x:v>2.4400000000000004</x:v>
      </x:c>
      <x:c r="M8" s="160" t="str">
        <x:v>是｜同场大小球+小额波胆（受控）</x:v>
      </x:c>
      <x:c r="N8" s="160" t="str">
        <x:v>已冻结</x:v>
      </x:c>
      <x:c r="O8" s="209" t="str">
        <x:v>逻辑正确</x:v>
      </x:c>
      <x:c r="P8" s="160" t="str">
        <x:v>无决定性随机事件</x:v>
      </x:c>
      <x:c r="Q8" s="176" t="n">
        <x:f>IF(A8="","",SUM($L$4:L8))</x:f>
        <x:v>-11.759999999999998</x:v>
      </x:c>
      <x:c r="R8" s="176" t="n">
        <x:f>IF(A8="","",MAX(0,$Q$4:Q8))</x:f>
        <x:v>0</x:v>
      </x:c>
      <x:c r="S8" s="176" t="n">
        <x:f>IF(A8="","",Q8-R8)</x:f>
        <x:v>-11.759999999999998</x:v>
      </x:c>
      <x:c r="T8" s="177" t="str">
        <x:v>主仓命中；玩法选择优于胜平负/深让</x:v>
      </x:c>
      <x:c r="U8" s="177" t="n">
        <x:f>IF(A8="","",IF(J8="红",1,IF(J8="半红",0.5,IF(J8="走水","",IF(J8="半黑",0,IF(J8="黑",0,""))))))</x:f>
        <x:v>1</x:v>
      </x:c>
      <x:c r="V8" s="177" t="n">
        <x:f>IF(A8="","",IF(O8="逻辑正确",1,IF(O8="局部正确",0.5,IF(O8="逻辑错误",0,""))))</x:f>
        <x:v>1</x:v>
      </x:c>
      <x:c r="W8" s="177" t="n">
        <x:f>IF(A8="","",IF(OR(J8="红",J8="黑",J8="走水",J8="半红",J8="半黑"),1,0))</x:f>
        <x:v>1</x:v>
      </x:c>
    </x:row>
    <x:row r="9" ht="44" customHeight="1">
      <x:c r="A9" s="160" t="str">
        <x:v>B006</x:v>
      </x:c>
      <x:c r="B9" s="160" t="str">
        <x:v>M007｜世界杯｜法国 vs 摩洛哥</x:v>
      </x:c>
      <x:c r="C9" s="160" t="str">
        <x:v>2026-07-10｜赛前约5分钟</x:v>
      </x:c>
      <x:c r="D9" s="160" t="str">
        <x:v>博上层</x:v>
      </x:c>
      <x:c r="E9" s="160" t="str">
        <x:v>正确比分</x:v>
      </x:c>
      <x:c r="F9" s="160" t="str">
        <x:v>法国1-0</x:v>
      </x:c>
      <x:c r="G9" s="161" t="n">
        <x:v>6.1</x:v>
      </x:c>
      <x:c r="H9" s="161" t="n">
        <x:v>2</x:v>
      </x:c>
      <x:c r="I9" s="161" t="str">
        <x:v>法国2-0摩洛哥</x:v>
      </x:c>
      <x:c r="J9" s="197" t="str">
        <x:v>黑</x:v>
      </x:c>
      <x:c r="K9" s="161" t="n">
        <x:v>0</x:v>
      </x:c>
      <x:c r="L9" s="203" t="n">
        <x:f>IF(A9="","",K9-H9)</x:f>
        <x:v>-2</x:v>
      </x:c>
      <x:c r="M9" s="160" t="str">
        <x:v>是｜同场大小球+小额波胆（受控）</x:v>
      </x:c>
      <x:c r="N9" s="160" t="str">
        <x:v>已冻结</x:v>
      </x:c>
      <x:c r="O9" s="215" t="str">
        <x:v>局部正确</x:v>
      </x:c>
      <x:c r="P9" s="160" t="str">
        <x:v>无决定性随机事件</x:v>
      </x:c>
      <x:c r="Q9" s="176" t="n">
        <x:f>IF(A9="","",SUM($L$4:L9))</x:f>
        <x:v>-13.759999999999998</x:v>
      </x:c>
      <x:c r="R9" s="176" t="n">
        <x:f>IF(A9="","",MAX(0,$Q$4:Q9))</x:f>
        <x:v>0</x:v>
      </x:c>
      <x:c r="S9" s="176" t="n">
        <x:f>IF(A9="","",Q9-R9)</x:f>
        <x:v>-13.759999999999998</x:v>
      </x:c>
      <x:c r="T9" s="177" t="str">
        <x:v>小球与BTTS No主线正确，精确落点偏左</x:v>
      </x:c>
      <x:c r="U9" s="177" t="n">
        <x:f>IF(A9="","",IF(J9="红",1,IF(J9="半红",0.5,IF(J9="走水","",IF(J9="半黑",0,IF(J9="黑",0,""))))))</x:f>
        <x:v>0</x:v>
      </x:c>
      <x:c r="V9" s="177" t="n">
        <x:f>IF(A9="","",IF(O9="逻辑正确",1,IF(O9="局部正确",0.5,IF(O9="逻辑错误",0,""))))</x:f>
        <x:v>0.5</x:v>
      </x:c>
      <x:c r="W9" s="177" t="n">
        <x:f>IF(A9="","",IF(OR(J9="红",J9="黑",J9="走水",J9="半红",J9="半黑"),1,0))</x:f>
        <x:v>1</x:v>
      </x:c>
    </x:row>
    <x:row r="10">
      <x:c r="A10" s="160"/>
      <x:c r="B10" s="160"/>
      <x:c r="C10" s="160"/>
      <x:c r="D10" s="160"/>
      <x:c r="E10" s="160"/>
      <x:c r="F10" s="160"/>
      <x:c r="G10" s="161"/>
      <x:c r="H10" s="161"/>
      <x:c r="I10" s="161"/>
      <x:c r="J10" s="161"/>
      <x:c r="K10" s="161"/>
      <x:c r="L10" s="161" t="str">
        <x:f>IF(A10="","",K10-H10)</x:f>
      </x:c>
      <x:c r="M10" s="160"/>
      <x:c r="N10" s="160"/>
      <x:c r="O10" s="160"/>
      <x:c r="P10" s="160"/>
      <x:c r="Q10" s="176" t="str">
        <x:f>IF(A10="","",SUM($L$4:L10))</x:f>
      </x:c>
      <x:c r="R10" s="176" t="str">
        <x:f>IF(A10="","",MAX(0,$Q$4:Q10))</x:f>
      </x:c>
      <x:c r="S10" s="176" t="str">
        <x:f>IF(A10="","",Q10-R10)</x:f>
      </x:c>
      <x:c r="T10" s="177"/>
      <x:c r="U10" s="177" t="str">
        <x:f>IF(A10="","",IF(J10="红",1,IF(J10="半红",0.5,IF(J10="走水","",IF(J10="半黑",0,IF(J10="黑",0,""))))))</x:f>
      </x:c>
      <x:c r="V10" s="177" t="str">
        <x:f>IF(A10="","",IF(O10="逻辑正确",1,IF(O10="局部正确",0.5,IF(O10="逻辑错误",0,""))))</x:f>
      </x:c>
      <x:c r="W10" s="177" t="str">
        <x:f>IF(A10="","",IF(OR(J10="红",J10="黑",J10="走水",J10="半红",J10="半黑"),1,0))</x:f>
      </x:c>
    </x:row>
    <x:row r="11">
      <x:c r="A11" s="160"/>
      <x:c r="B11" s="160"/>
      <x:c r="C11" s="160"/>
      <x:c r="D11" s="160"/>
      <x:c r="E11" s="160"/>
      <x:c r="F11" s="160"/>
      <x:c r="G11" s="161"/>
      <x:c r="H11" s="161"/>
      <x:c r="I11" s="161"/>
      <x:c r="J11" s="161"/>
      <x:c r="K11" s="161"/>
      <x:c r="L11" s="161" t="str">
        <x:f>IF(A11="","",K11-H11)</x:f>
      </x:c>
      <x:c r="M11" s="160"/>
      <x:c r="N11" s="160"/>
      <x:c r="O11" s="160"/>
      <x:c r="P11" s="160"/>
      <x:c r="Q11" s="176" t="str">
        <x:f>IF(A11="","",SUM($L$4:L11))</x:f>
      </x:c>
      <x:c r="R11" s="176" t="str">
        <x:f>IF(A11="","",MAX(0,$Q$4:Q11))</x:f>
      </x:c>
      <x:c r="S11" s="176" t="str">
        <x:f>IF(A11="","",Q11-R11)</x:f>
      </x:c>
      <x:c r="T11" s="177"/>
      <x:c r="U11" s="177" t="str">
        <x:f>IF(A11="","",IF(J11="红",1,IF(J11="半红",0.5,IF(J11="走水","",IF(J11="半黑",0,IF(J11="黑",0,""))))))</x:f>
      </x:c>
      <x:c r="V11" s="177" t="str">
        <x:f>IF(A11="","",IF(O11="逻辑正确",1,IF(O11="局部正确",0.5,IF(O11="逻辑错误",0,""))))</x:f>
      </x:c>
      <x:c r="W11" s="177" t="str">
        <x:f>IF(A11="","",IF(OR(J11="红",J11="黑",J11="走水",J11="半红",J11="半黑"),1,0))</x:f>
      </x:c>
    </x:row>
    <x:row r="12">
      <x:c r="A12" s="160"/>
      <x:c r="B12" s="160"/>
      <x:c r="C12" s="160"/>
      <x:c r="D12" s="160"/>
      <x:c r="E12" s="160"/>
      <x:c r="F12" s="160"/>
      <x:c r="G12" s="161"/>
      <x:c r="H12" s="161"/>
      <x:c r="I12" s="161"/>
      <x:c r="J12" s="161"/>
      <x:c r="K12" s="161"/>
      <x:c r="L12" s="161" t="str">
        <x:f>IF(A12="","",K12-H12)</x:f>
      </x:c>
      <x:c r="M12" s="160"/>
      <x:c r="N12" s="160"/>
      <x:c r="O12" s="160"/>
      <x:c r="P12" s="160"/>
      <x:c r="Q12" s="176" t="str">
        <x:f>IF(A12="","",SUM($L$4:L12))</x:f>
      </x:c>
      <x:c r="R12" s="176" t="str">
        <x:f>IF(A12="","",MAX(0,$Q$4:Q12))</x:f>
      </x:c>
      <x:c r="S12" s="176" t="str">
        <x:f>IF(A12="","",Q12-R12)</x:f>
      </x:c>
      <x:c r="T12" s="177"/>
      <x:c r="U12" s="177" t="str">
        <x:f>IF(A12="","",IF(J12="红",1,IF(J12="半红",0.5,IF(J12="走水","",IF(J12="半黑",0,IF(J12="黑",0,""))))))</x:f>
      </x:c>
      <x:c r="V12" s="177" t="str">
        <x:f>IF(A12="","",IF(O12="逻辑正确",1,IF(O12="局部正确",0.5,IF(O12="逻辑错误",0,""))))</x:f>
      </x:c>
      <x:c r="W12" s="177" t="str">
        <x:f>IF(A12="","",IF(OR(J12="红",J12="黑",J12="走水",J12="半红",J12="半黑"),1,0))</x:f>
      </x:c>
    </x:row>
    <x:row r="13">
      <x:c r="A13" s="160"/>
      <x:c r="B13" s="160"/>
      <x:c r="C13" s="160"/>
      <x:c r="D13" s="160"/>
      <x:c r="E13" s="160"/>
      <x:c r="F13" s="160"/>
      <x:c r="G13" s="161"/>
      <x:c r="H13" s="161"/>
      <x:c r="I13" s="161"/>
      <x:c r="J13" s="161"/>
      <x:c r="K13" s="161"/>
      <x:c r="L13" s="161" t="str">
        <x:f>IF(A13="","",K13-H13)</x:f>
      </x:c>
      <x:c r="M13" s="160"/>
      <x:c r="N13" s="160"/>
      <x:c r="O13" s="160"/>
      <x:c r="P13" s="160"/>
      <x:c r="Q13" s="176" t="str">
        <x:f>IF(A13="","",SUM($L$4:L13))</x:f>
      </x:c>
      <x:c r="R13" s="176" t="str">
        <x:f>IF(A13="","",MAX(0,$Q$4:Q13))</x:f>
      </x:c>
      <x:c r="S13" s="176" t="str">
        <x:f>IF(A13="","",Q13-R13)</x:f>
      </x:c>
      <x:c r="T13" s="177"/>
      <x:c r="U13" s="177" t="str">
        <x:f>IF(A13="","",IF(J13="红",1,IF(J13="半红",0.5,IF(J13="走水","",IF(J13="半黑",0,IF(J13="黑",0,""))))))</x:f>
      </x:c>
      <x:c r="V13" s="177" t="str">
        <x:f>IF(A13="","",IF(O13="逻辑正确",1,IF(O13="局部正确",0.5,IF(O13="逻辑错误",0,""))))</x:f>
      </x:c>
      <x:c r="W13" s="177" t="str">
        <x:f>IF(A13="","",IF(OR(J13="红",J13="黑",J13="走水",J13="半红",J13="半黑"),1,0))</x:f>
      </x:c>
    </x:row>
    <x:row r="14">
      <x:c r="A14" s="160"/>
      <x:c r="B14" s="160"/>
      <x:c r="C14" s="160"/>
      <x:c r="D14" s="160"/>
      <x:c r="E14" s="160"/>
      <x:c r="F14" s="160"/>
      <x:c r="G14" s="161"/>
      <x:c r="H14" s="161"/>
      <x:c r="I14" s="161"/>
      <x:c r="J14" s="161"/>
      <x:c r="K14" s="161"/>
      <x:c r="L14" s="161" t="str">
        <x:f>IF(A14="","",K14-H14)</x:f>
      </x:c>
      <x:c r="M14" s="160"/>
      <x:c r="N14" s="160"/>
      <x:c r="O14" s="160"/>
      <x:c r="P14" s="160"/>
      <x:c r="Q14" s="176" t="str">
        <x:f>IF(A14="","",SUM($L$4:L14))</x:f>
      </x:c>
      <x:c r="R14" s="176" t="str">
        <x:f>IF(A14="","",MAX(0,$Q$4:Q14))</x:f>
      </x:c>
      <x:c r="S14" s="176" t="str">
        <x:f>IF(A14="","",Q14-R14)</x:f>
      </x:c>
      <x:c r="T14" s="177"/>
      <x:c r="U14" s="177" t="str">
        <x:f>IF(A14="","",IF(J14="红",1,IF(J14="半红",0.5,IF(J14="走水","",IF(J14="半黑",0,IF(J14="黑",0,""))))))</x:f>
      </x:c>
      <x:c r="V14" s="177" t="str">
        <x:f>IF(A14="","",IF(O14="逻辑正确",1,IF(O14="局部正确",0.5,IF(O14="逻辑错误",0,""))))</x:f>
      </x:c>
      <x:c r="W14" s="177" t="str">
        <x:f>IF(A14="","",IF(OR(J14="红",J14="黑",J14="走水",J14="半红",J14="半黑"),1,0))</x:f>
      </x:c>
    </x:row>
    <x:row r="15">
      <x:c r="A15" s="160"/>
      <x:c r="B15" s="160"/>
      <x:c r="C15" s="160"/>
      <x:c r="D15" s="160"/>
      <x:c r="E15" s="160"/>
      <x:c r="F15" s="160"/>
      <x:c r="G15" s="161"/>
      <x:c r="H15" s="161"/>
      <x:c r="I15" s="161"/>
      <x:c r="J15" s="161"/>
      <x:c r="K15" s="161"/>
      <x:c r="L15" s="161" t="str">
        <x:f>IF(A15="","",K15-H15)</x:f>
      </x:c>
      <x:c r="M15" s="160"/>
      <x:c r="N15" s="160"/>
      <x:c r="O15" s="160"/>
      <x:c r="P15" s="160"/>
      <x:c r="Q15" s="176" t="str">
        <x:f>IF(A15="","",SUM($L$4:L15))</x:f>
      </x:c>
      <x:c r="R15" s="176" t="str">
        <x:f>IF(A15="","",MAX(0,$Q$4:Q15))</x:f>
      </x:c>
      <x:c r="S15" s="176" t="str">
        <x:f>IF(A15="","",Q15-R15)</x:f>
      </x:c>
      <x:c r="T15" s="177"/>
      <x:c r="U15" s="177" t="str">
        <x:f>IF(A15="","",IF(J15="红",1,IF(J15="半红",0.5,IF(J15="走水","",IF(J15="半黑",0,IF(J15="黑",0,""))))))</x:f>
      </x:c>
      <x:c r="V15" s="177" t="str">
        <x:f>IF(A15="","",IF(O15="逻辑正确",1,IF(O15="局部正确",0.5,IF(O15="逻辑错误",0,""))))</x:f>
      </x:c>
      <x:c r="W15" s="177" t="str">
        <x:f>IF(A15="","",IF(OR(J15="红",J15="黑",J15="走水",J15="半红",J15="半黑"),1,0))</x:f>
      </x:c>
    </x:row>
    <x:row r="16">
      <x:c r="A16" s="160"/>
      <x:c r="B16" s="160"/>
      <x:c r="C16" s="160"/>
      <x:c r="D16" s="160"/>
      <x:c r="E16" s="160"/>
      <x:c r="F16" s="160"/>
      <x:c r="G16" s="161"/>
      <x:c r="H16" s="161"/>
      <x:c r="I16" s="161"/>
      <x:c r="J16" s="161"/>
      <x:c r="K16" s="161"/>
      <x:c r="L16" s="161" t="str">
        <x:f>IF(A16="","",K16-H16)</x:f>
      </x:c>
      <x:c r="M16" s="160"/>
      <x:c r="N16" s="160"/>
      <x:c r="O16" s="160"/>
      <x:c r="P16" s="160"/>
      <x:c r="Q16" s="176" t="str">
        <x:f>IF(A16="","",SUM($L$4:L16))</x:f>
      </x:c>
      <x:c r="R16" s="176" t="str">
        <x:f>IF(A16="","",MAX(0,$Q$4:Q16))</x:f>
      </x:c>
      <x:c r="S16" s="176" t="str">
        <x:f>IF(A16="","",Q16-R16)</x:f>
      </x:c>
      <x:c r="T16" s="177"/>
      <x:c r="U16" s="177" t="str">
        <x:f>IF(A16="","",IF(J16="红",1,IF(J16="半红",0.5,IF(J16="走水","",IF(J16="半黑",0,IF(J16="黑",0,""))))))</x:f>
      </x:c>
      <x:c r="V16" s="177" t="str">
        <x:f>IF(A16="","",IF(O16="逻辑正确",1,IF(O16="局部正确",0.5,IF(O16="逻辑错误",0,""))))</x:f>
      </x:c>
      <x:c r="W16" s="177" t="str">
        <x:f>IF(A16="","",IF(OR(J16="红",J16="黑",J16="走水",J16="半红",J16="半黑"),1,0))</x:f>
      </x:c>
    </x:row>
    <x:row r="17">
      <x:c r="A17" s="160"/>
      <x:c r="B17" s="160"/>
      <x:c r="C17" s="160"/>
      <x:c r="D17" s="160"/>
      <x:c r="E17" s="160"/>
      <x:c r="F17" s="160"/>
      <x:c r="G17" s="161"/>
      <x:c r="H17" s="161"/>
      <x:c r="I17" s="161"/>
      <x:c r="J17" s="161"/>
      <x:c r="K17" s="161"/>
      <x:c r="L17" s="161" t="str">
        <x:f>IF(A17="","",K17-H17)</x:f>
      </x:c>
      <x:c r="M17" s="160"/>
      <x:c r="N17" s="160"/>
      <x:c r="O17" s="160"/>
      <x:c r="P17" s="160"/>
      <x:c r="Q17" s="176" t="str">
        <x:f>IF(A17="","",SUM($L$4:L17))</x:f>
      </x:c>
      <x:c r="R17" s="176" t="str">
        <x:f>IF(A17="","",MAX(0,$Q$4:Q17))</x:f>
      </x:c>
      <x:c r="S17" s="176" t="str">
        <x:f>IF(A17="","",Q17-R17)</x:f>
      </x:c>
      <x:c r="T17" s="177"/>
      <x:c r="U17" s="177" t="str">
        <x:f>IF(A17="","",IF(J17="红",1,IF(J17="半红",0.5,IF(J17="走水","",IF(J17="半黑",0,IF(J17="黑",0,""))))))</x:f>
      </x:c>
      <x:c r="V17" s="177" t="str">
        <x:f>IF(A17="","",IF(O17="逻辑正确",1,IF(O17="局部正确",0.5,IF(O17="逻辑错误",0,""))))</x:f>
      </x:c>
      <x:c r="W17" s="177" t="str">
        <x:f>IF(A17="","",IF(OR(J17="红",J17="黑",J17="走水",J17="半红",J17="半黑"),1,0))</x:f>
      </x:c>
    </x:row>
    <x:row r="18">
      <x:c r="A18" s="160"/>
      <x:c r="B18" s="160"/>
      <x:c r="C18" s="160"/>
      <x:c r="D18" s="160"/>
      <x:c r="E18" s="160"/>
      <x:c r="F18" s="160"/>
      <x:c r="G18" s="161"/>
      <x:c r="H18" s="161"/>
      <x:c r="I18" s="161"/>
      <x:c r="J18" s="161"/>
      <x:c r="K18" s="161"/>
      <x:c r="L18" s="161" t="str">
        <x:f>IF(A18="","",K18-H18)</x:f>
      </x:c>
      <x:c r="M18" s="160"/>
      <x:c r="N18" s="160"/>
      <x:c r="O18" s="160"/>
      <x:c r="P18" s="160"/>
      <x:c r="Q18" s="176" t="str">
        <x:f>IF(A18="","",SUM($L$4:L18))</x:f>
      </x:c>
      <x:c r="R18" s="176" t="str">
        <x:f>IF(A18="","",MAX(0,$Q$4:Q18))</x:f>
      </x:c>
      <x:c r="S18" s="176" t="str">
        <x:f>IF(A18="","",Q18-R18)</x:f>
      </x:c>
      <x:c r="T18" s="177"/>
      <x:c r="U18" s="177" t="str">
        <x:f>IF(A18="","",IF(J18="红",1,IF(J18="半红",0.5,IF(J18="走水","",IF(J18="半黑",0,IF(J18="黑",0,""))))))</x:f>
      </x:c>
      <x:c r="V18" s="177" t="str">
        <x:f>IF(A18="","",IF(O18="逻辑正确",1,IF(O18="局部正确",0.5,IF(O18="逻辑错误",0,""))))</x:f>
      </x:c>
      <x:c r="W18" s="177" t="str">
        <x:f>IF(A18="","",IF(OR(J18="红",J18="黑",J18="走水",J18="半红",J18="半黑"),1,0))</x:f>
      </x:c>
    </x:row>
    <x:row r="19">
      <x:c r="A19" s="160"/>
      <x:c r="B19" s="160"/>
      <x:c r="C19" s="160"/>
      <x:c r="D19" s="160"/>
      <x:c r="E19" s="160"/>
      <x:c r="F19" s="160"/>
      <x:c r="G19" s="161"/>
      <x:c r="H19" s="161"/>
      <x:c r="I19" s="161"/>
      <x:c r="J19" s="161"/>
      <x:c r="K19" s="161"/>
      <x:c r="L19" s="161" t="str">
        <x:f>IF(A19="","",K19-H19)</x:f>
      </x:c>
      <x:c r="M19" s="160"/>
      <x:c r="N19" s="160"/>
      <x:c r="O19" s="160"/>
      <x:c r="P19" s="160"/>
      <x:c r="Q19" s="176" t="str">
        <x:f>IF(A19="","",SUM($L$4:L19))</x:f>
      </x:c>
      <x:c r="R19" s="176" t="str">
        <x:f>IF(A19="","",MAX(0,$Q$4:Q19))</x:f>
      </x:c>
      <x:c r="S19" s="176" t="str">
        <x:f>IF(A19="","",Q19-R19)</x:f>
      </x:c>
      <x:c r="T19" s="177"/>
      <x:c r="U19" s="177" t="str">
        <x:f>IF(A19="","",IF(J19="红",1,IF(J19="半红",0.5,IF(J19="走水","",IF(J19="半黑",0,IF(J19="黑",0,""))))))</x:f>
      </x:c>
      <x:c r="V19" s="177" t="str">
        <x:f>IF(A19="","",IF(O19="逻辑正确",1,IF(O19="局部正确",0.5,IF(O19="逻辑错误",0,""))))</x:f>
      </x:c>
      <x:c r="W19" s="177" t="str">
        <x:f>IF(A19="","",IF(OR(J19="红",J19="黑",J19="走水",J19="半红",J19="半黑"),1,0))</x:f>
      </x:c>
    </x:row>
    <x:row r="20">
      <x:c r="A20" s="160"/>
      <x:c r="B20" s="160"/>
      <x:c r="C20" s="160"/>
      <x:c r="D20" s="160"/>
      <x:c r="E20" s="160"/>
      <x:c r="F20" s="160"/>
      <x:c r="G20" s="161"/>
      <x:c r="H20" s="161"/>
      <x:c r="I20" s="161"/>
      <x:c r="J20" s="161"/>
      <x:c r="K20" s="161"/>
      <x:c r="L20" s="161" t="str">
        <x:f>IF(A20="","",K20-H20)</x:f>
      </x:c>
      <x:c r="M20" s="160"/>
      <x:c r="N20" s="160"/>
      <x:c r="O20" s="160"/>
      <x:c r="P20" s="160"/>
      <x:c r="Q20" s="176" t="str">
        <x:f>IF(A20="","",SUM($L$4:L20))</x:f>
      </x:c>
      <x:c r="R20" s="176" t="str">
        <x:f>IF(A20="","",MAX(0,$Q$4:Q20))</x:f>
      </x:c>
      <x:c r="S20" s="176" t="str">
        <x:f>IF(A20="","",Q20-R20)</x:f>
      </x:c>
      <x:c r="T20" s="177"/>
      <x:c r="U20" s="177" t="str">
        <x:f>IF(A20="","",IF(J20="红",1,IF(J20="半红",0.5,IF(J20="走水","",IF(J20="半黑",0,IF(J20="黑",0,""))))))</x:f>
      </x:c>
      <x:c r="V20" s="177" t="str">
        <x:f>IF(A20="","",IF(O20="逻辑正确",1,IF(O20="局部正确",0.5,IF(O20="逻辑错误",0,""))))</x:f>
      </x:c>
      <x:c r="W20" s="177" t="str">
        <x:f>IF(A20="","",IF(OR(J20="红",J20="黑",J20="走水",J20="半红",J20="半黑"),1,0))</x:f>
      </x:c>
    </x:row>
    <x:row r="21">
      <x:c r="A21" s="160"/>
      <x:c r="B21" s="160"/>
      <x:c r="C21" s="160"/>
      <x:c r="D21" s="160"/>
      <x:c r="E21" s="160"/>
      <x:c r="F21" s="160"/>
      <x:c r="G21" s="161"/>
      <x:c r="H21" s="161"/>
      <x:c r="I21" s="161"/>
      <x:c r="J21" s="161"/>
      <x:c r="K21" s="161"/>
      <x:c r="L21" s="161" t="str">
        <x:f>IF(A21="","",K21-H21)</x:f>
      </x:c>
      <x:c r="M21" s="160"/>
      <x:c r="N21" s="160"/>
      <x:c r="O21" s="160"/>
      <x:c r="P21" s="160"/>
      <x:c r="Q21" s="176" t="str">
        <x:f>IF(A21="","",SUM($L$4:L21))</x:f>
      </x:c>
      <x:c r="R21" s="176" t="str">
        <x:f>IF(A21="","",MAX(0,$Q$4:Q21))</x:f>
      </x:c>
      <x:c r="S21" s="176" t="str">
        <x:f>IF(A21="","",Q21-R21)</x:f>
      </x:c>
      <x:c r="T21" s="177"/>
      <x:c r="U21" s="177" t="str">
        <x:f>IF(A21="","",IF(J21="红",1,IF(J21="半红",0.5,IF(J21="走水","",IF(J21="半黑",0,IF(J21="黑",0,""))))))</x:f>
      </x:c>
      <x:c r="V21" s="177" t="str">
        <x:f>IF(A21="","",IF(O21="逻辑正确",1,IF(O21="局部正确",0.5,IF(O21="逻辑错误",0,""))))</x:f>
      </x:c>
      <x:c r="W21" s="177" t="str">
        <x:f>IF(A21="","",IF(OR(J21="红",J21="黑",J21="走水",J21="半红",J21="半黑"),1,0))</x:f>
      </x:c>
    </x:row>
    <x:row r="22">
      <x:c r="A22" s="160"/>
      <x:c r="B22" s="160"/>
      <x:c r="C22" s="160"/>
      <x:c r="D22" s="160"/>
      <x:c r="E22" s="160"/>
      <x:c r="F22" s="160"/>
      <x:c r="G22" s="161"/>
      <x:c r="H22" s="161"/>
      <x:c r="I22" s="161"/>
      <x:c r="J22" s="161"/>
      <x:c r="K22" s="161"/>
      <x:c r="L22" s="161" t="str">
        <x:f>IF(A22="","",K22-H22)</x:f>
      </x:c>
      <x:c r="M22" s="160"/>
      <x:c r="N22" s="160"/>
      <x:c r="O22" s="160"/>
      <x:c r="P22" s="160"/>
      <x:c r="Q22" s="176" t="str">
        <x:f>IF(A22="","",SUM($L$4:L22))</x:f>
      </x:c>
      <x:c r="R22" s="176" t="str">
        <x:f>IF(A22="","",MAX(0,$Q$4:Q22))</x:f>
      </x:c>
      <x:c r="S22" s="176" t="str">
        <x:f>IF(A22="","",Q22-R22)</x:f>
      </x:c>
      <x:c r="T22" s="177"/>
      <x:c r="U22" s="177" t="str">
        <x:f>IF(A22="","",IF(J22="红",1,IF(J22="半红",0.5,IF(J22="走水","",IF(J22="半黑",0,IF(J22="黑",0,""))))))</x:f>
      </x:c>
      <x:c r="V22" s="177" t="str">
        <x:f>IF(A22="","",IF(O22="逻辑正确",1,IF(O22="局部正确",0.5,IF(O22="逻辑错误",0,""))))</x:f>
      </x:c>
      <x:c r="W22" s="177" t="str">
        <x:f>IF(A22="","",IF(OR(J22="红",J22="黑",J22="走水",J22="半红",J22="半黑"),1,0))</x:f>
      </x:c>
    </x:row>
    <x:row r="23">
      <x:c r="A23" s="160"/>
      <x:c r="B23" s="160"/>
      <x:c r="C23" s="160"/>
      <x:c r="D23" s="160"/>
      <x:c r="E23" s="160"/>
      <x:c r="F23" s="160"/>
      <x:c r="G23" s="161"/>
      <x:c r="H23" s="161"/>
      <x:c r="I23" s="161"/>
      <x:c r="J23" s="161"/>
      <x:c r="K23" s="161"/>
      <x:c r="L23" s="161" t="str">
        <x:f>IF(A23="","",K23-H23)</x:f>
      </x:c>
      <x:c r="M23" s="160"/>
      <x:c r="N23" s="160"/>
      <x:c r="O23" s="160"/>
      <x:c r="P23" s="160"/>
      <x:c r="Q23" s="176" t="str">
        <x:f>IF(A23="","",SUM($L$4:L23))</x:f>
      </x:c>
      <x:c r="R23" s="176" t="str">
        <x:f>IF(A23="","",MAX(0,$Q$4:Q23))</x:f>
      </x:c>
      <x:c r="S23" s="176" t="str">
        <x:f>IF(A23="","",Q23-R23)</x:f>
      </x:c>
      <x:c r="T23" s="177"/>
      <x:c r="U23" s="177" t="str">
        <x:f>IF(A23="","",IF(J23="红",1,IF(J23="半红",0.5,IF(J23="走水","",IF(J23="半黑",0,IF(J23="黑",0,""))))))</x:f>
      </x:c>
      <x:c r="V23" s="177" t="str">
        <x:f>IF(A23="","",IF(O23="逻辑正确",1,IF(O23="局部正确",0.5,IF(O23="逻辑错误",0,""))))</x:f>
      </x:c>
      <x:c r="W23" s="177" t="str">
        <x:f>IF(A23="","",IF(OR(J23="红",J23="黑",J23="走水",J23="半红",J23="半黑"),1,0))</x:f>
      </x:c>
    </x:row>
    <x:row r="24">
      <x:c r="A24" s="160"/>
      <x:c r="B24" s="160"/>
      <x:c r="C24" s="160"/>
      <x:c r="D24" s="160"/>
      <x:c r="E24" s="160"/>
      <x:c r="F24" s="160"/>
      <x:c r="G24" s="161"/>
      <x:c r="H24" s="161"/>
      <x:c r="I24" s="161"/>
      <x:c r="J24" s="161"/>
      <x:c r="K24" s="161"/>
      <x:c r="L24" s="161" t="str">
        <x:f>IF(A24="","",K24-H24)</x:f>
      </x:c>
      <x:c r="M24" s="160"/>
      <x:c r="N24" s="160"/>
      <x:c r="O24" s="160"/>
      <x:c r="P24" s="160"/>
      <x:c r="Q24" s="176" t="str">
        <x:f>IF(A24="","",SUM($L$4:L24))</x:f>
      </x:c>
      <x:c r="R24" s="176" t="str">
        <x:f>IF(A24="","",MAX(0,$Q$4:Q24))</x:f>
      </x:c>
      <x:c r="S24" s="176" t="str">
        <x:f>IF(A24="","",Q24-R24)</x:f>
      </x:c>
      <x:c r="T24" s="177"/>
      <x:c r="U24" s="177" t="str">
        <x:f>IF(A24="","",IF(J24="红",1,IF(J24="半红",0.5,IF(J24="走水","",IF(J24="半黑",0,IF(J24="黑",0,""))))))</x:f>
      </x:c>
      <x:c r="V24" s="177" t="str">
        <x:f>IF(A24="","",IF(O24="逻辑正确",1,IF(O24="局部正确",0.5,IF(O24="逻辑错误",0,""))))</x:f>
      </x:c>
      <x:c r="W24" s="177" t="str">
        <x:f>IF(A24="","",IF(OR(J24="红",J24="黑",J24="走水",J24="半红",J24="半黑"),1,0))</x:f>
      </x:c>
    </x:row>
    <x:row r="25">
      <x:c r="A25" s="160"/>
      <x:c r="B25" s="160"/>
      <x:c r="C25" s="160"/>
      <x:c r="D25" s="160"/>
      <x:c r="E25" s="160"/>
      <x:c r="F25" s="160"/>
      <x:c r="G25" s="161"/>
      <x:c r="H25" s="161"/>
      <x:c r="I25" s="161"/>
      <x:c r="J25" s="161"/>
      <x:c r="K25" s="161"/>
      <x:c r="L25" s="161" t="str">
        <x:f>IF(A25="","",K25-H25)</x:f>
      </x:c>
      <x:c r="M25" s="160"/>
      <x:c r="N25" s="160"/>
      <x:c r="O25" s="160"/>
      <x:c r="P25" s="160"/>
      <x:c r="Q25" s="176" t="str">
        <x:f>IF(A25="","",SUM($L$4:L25))</x:f>
      </x:c>
      <x:c r="R25" s="176" t="str">
        <x:f>IF(A25="","",MAX(0,$Q$4:Q25))</x:f>
      </x:c>
      <x:c r="S25" s="176" t="str">
        <x:f>IF(A25="","",Q25-R25)</x:f>
      </x:c>
      <x:c r="T25" s="177"/>
      <x:c r="U25" s="177" t="str">
        <x:f>IF(A25="","",IF(J25="红",1,IF(J25="半红",0.5,IF(J25="走水","",IF(J25="半黑",0,IF(J25="黑",0,""))))))</x:f>
      </x:c>
      <x:c r="V25" s="177" t="str">
        <x:f>IF(A25="","",IF(O25="逻辑正确",1,IF(O25="局部正确",0.5,IF(O25="逻辑错误",0,""))))</x:f>
      </x:c>
      <x:c r="W25" s="177" t="str">
        <x:f>IF(A25="","",IF(OR(J25="红",J25="黑",J25="走水",J25="半红",J25="半黑"),1,0))</x:f>
      </x:c>
    </x:row>
    <x:row r="26">
      <x:c r="A26" s="160"/>
      <x:c r="B26" s="160"/>
      <x:c r="C26" s="160"/>
      <x:c r="D26" s="160"/>
      <x:c r="E26" s="160"/>
      <x:c r="F26" s="160"/>
      <x:c r="G26" s="161"/>
      <x:c r="H26" s="161"/>
      <x:c r="I26" s="161"/>
      <x:c r="J26" s="161"/>
      <x:c r="K26" s="161"/>
      <x:c r="L26" s="161" t="str">
        <x:f>IF(A26="","",K26-H26)</x:f>
      </x:c>
      <x:c r="M26" s="160"/>
      <x:c r="N26" s="160"/>
      <x:c r="O26" s="160"/>
      <x:c r="P26" s="160"/>
      <x:c r="Q26" s="176" t="str">
        <x:f>IF(A26="","",SUM($L$4:L26))</x:f>
      </x:c>
      <x:c r="R26" s="176" t="str">
        <x:f>IF(A26="","",MAX(0,$Q$4:Q26))</x:f>
      </x:c>
      <x:c r="S26" s="176" t="str">
        <x:f>IF(A26="","",Q26-R26)</x:f>
      </x:c>
      <x:c r="T26" s="177"/>
      <x:c r="U26" s="177" t="str">
        <x:f>IF(A26="","",IF(J26="红",1,IF(J26="半红",0.5,IF(J26="走水","",IF(J26="半黑",0,IF(J26="黑",0,""))))))</x:f>
      </x:c>
      <x:c r="V26" s="177" t="str">
        <x:f>IF(A26="","",IF(O26="逻辑正确",1,IF(O26="局部正确",0.5,IF(O26="逻辑错误",0,""))))</x:f>
      </x:c>
      <x:c r="W26" s="177" t="str">
        <x:f>IF(A26="","",IF(OR(J26="红",J26="黑",J26="走水",J26="半红",J26="半黑"),1,0))</x:f>
      </x:c>
    </x:row>
    <x:row r="27">
      <x:c r="A27" s="160"/>
      <x:c r="B27" s="160"/>
      <x:c r="C27" s="160"/>
      <x:c r="D27" s="160"/>
      <x:c r="E27" s="160"/>
      <x:c r="F27" s="160"/>
      <x:c r="G27" s="161"/>
      <x:c r="H27" s="161"/>
      <x:c r="I27" s="161"/>
      <x:c r="J27" s="161"/>
      <x:c r="K27" s="161"/>
      <x:c r="L27" s="161" t="str">
        <x:f>IF(A27="","",K27-H27)</x:f>
      </x:c>
      <x:c r="M27" s="160"/>
      <x:c r="N27" s="160"/>
      <x:c r="O27" s="160"/>
      <x:c r="P27" s="160"/>
      <x:c r="Q27" s="176" t="str">
        <x:f>IF(A27="","",SUM($L$4:L27))</x:f>
      </x:c>
      <x:c r="R27" s="176" t="str">
        <x:f>IF(A27="","",MAX(0,$Q$4:Q27))</x:f>
      </x:c>
      <x:c r="S27" s="176" t="str">
        <x:f>IF(A27="","",Q27-R27)</x:f>
      </x:c>
      <x:c r="T27" s="177"/>
      <x:c r="U27" s="177" t="str">
        <x:f>IF(A27="","",IF(J27="红",1,IF(J27="半红",0.5,IF(J27="走水","",IF(J27="半黑",0,IF(J27="黑",0,""))))))</x:f>
      </x:c>
      <x:c r="V27" s="177" t="str">
        <x:f>IF(A27="","",IF(O27="逻辑正确",1,IF(O27="局部正确",0.5,IF(O27="逻辑错误",0,""))))</x:f>
      </x:c>
      <x:c r="W27" s="177" t="str">
        <x:f>IF(A27="","",IF(OR(J27="红",J27="黑",J27="走水",J27="半红",J27="半黑"),1,0))</x:f>
      </x:c>
    </x:row>
    <x:row r="28">
      <x:c r="A28" s="160"/>
      <x:c r="B28" s="160"/>
      <x:c r="C28" s="160"/>
      <x:c r="D28" s="160"/>
      <x:c r="E28" s="160"/>
      <x:c r="F28" s="160"/>
      <x:c r="G28" s="161"/>
      <x:c r="H28" s="161"/>
      <x:c r="I28" s="161"/>
      <x:c r="J28" s="161"/>
      <x:c r="K28" s="161"/>
      <x:c r="L28" s="161" t="str">
        <x:f>IF(A28="","",K28-H28)</x:f>
      </x:c>
      <x:c r="M28" s="160"/>
      <x:c r="N28" s="160"/>
      <x:c r="O28" s="160"/>
      <x:c r="P28" s="160"/>
      <x:c r="Q28" s="176" t="str">
        <x:f>IF(A28="","",SUM($L$4:L28))</x:f>
      </x:c>
      <x:c r="R28" s="176" t="str">
        <x:f>IF(A28="","",MAX(0,$Q$4:Q28))</x:f>
      </x:c>
      <x:c r="S28" s="176" t="str">
        <x:f>IF(A28="","",Q28-R28)</x:f>
      </x:c>
      <x:c r="T28" s="177"/>
      <x:c r="U28" s="177" t="str">
        <x:f>IF(A28="","",IF(J28="红",1,IF(J28="半红",0.5,IF(J28="走水","",IF(J28="半黑",0,IF(J28="黑",0,""))))))</x:f>
      </x:c>
      <x:c r="V28" s="177" t="str">
        <x:f>IF(A28="","",IF(O28="逻辑正确",1,IF(O28="局部正确",0.5,IF(O28="逻辑错误",0,""))))</x:f>
      </x:c>
      <x:c r="W28" s="177" t="str">
        <x:f>IF(A28="","",IF(OR(J28="红",J28="黑",J28="走水",J28="半红",J28="半黑"),1,0))</x:f>
      </x:c>
    </x:row>
    <x:row r="29">
      <x:c r="A29" s="160"/>
      <x:c r="B29" s="160"/>
      <x:c r="C29" s="160"/>
      <x:c r="D29" s="160"/>
      <x:c r="E29" s="160"/>
      <x:c r="F29" s="160"/>
      <x:c r="G29" s="161"/>
      <x:c r="H29" s="161"/>
      <x:c r="I29" s="161"/>
      <x:c r="J29" s="161"/>
      <x:c r="K29" s="161"/>
      <x:c r="L29" s="161" t="str">
        <x:f>IF(A29="","",K29-H29)</x:f>
      </x:c>
      <x:c r="M29" s="160"/>
      <x:c r="N29" s="160"/>
      <x:c r="O29" s="160"/>
      <x:c r="P29" s="160"/>
      <x:c r="Q29" s="176" t="str">
        <x:f>IF(A29="","",SUM($L$4:L29))</x:f>
      </x:c>
      <x:c r="R29" s="176" t="str">
        <x:f>IF(A29="","",MAX(0,$Q$4:Q29))</x:f>
      </x:c>
      <x:c r="S29" s="176" t="str">
        <x:f>IF(A29="","",Q29-R29)</x:f>
      </x:c>
      <x:c r="T29" s="177"/>
      <x:c r="U29" s="177" t="str">
        <x:f>IF(A29="","",IF(J29="红",1,IF(J29="半红",0.5,IF(J29="走水","",IF(J29="半黑",0,IF(J29="黑",0,""))))))</x:f>
      </x:c>
      <x:c r="V29" s="177" t="str">
        <x:f>IF(A29="","",IF(O29="逻辑正确",1,IF(O29="局部正确",0.5,IF(O29="逻辑错误",0,""))))</x:f>
      </x:c>
      <x:c r="W29" s="177" t="str">
        <x:f>IF(A29="","",IF(OR(J29="红",J29="黑",J29="走水",J29="半红",J29="半黑"),1,0))</x:f>
      </x:c>
    </x:row>
    <x:row r="30">
      <x:c r="A30" s="160"/>
      <x:c r="B30" s="160"/>
      <x:c r="C30" s="160"/>
      <x:c r="D30" s="160"/>
      <x:c r="E30" s="160"/>
      <x:c r="F30" s="160"/>
      <x:c r="G30" s="161"/>
      <x:c r="H30" s="161"/>
      <x:c r="I30" s="161"/>
      <x:c r="J30" s="161"/>
      <x:c r="K30" s="161"/>
      <x:c r="L30" s="161" t="str">
        <x:f>IF(A30="","",K30-H30)</x:f>
      </x:c>
      <x:c r="M30" s="160"/>
      <x:c r="N30" s="160"/>
      <x:c r="O30" s="160"/>
      <x:c r="P30" s="160"/>
      <x:c r="Q30" s="176" t="str">
        <x:f>IF(A30="","",SUM($L$4:L30))</x:f>
      </x:c>
      <x:c r="R30" s="176" t="str">
        <x:f>IF(A30="","",MAX(0,$Q$4:Q30))</x:f>
      </x:c>
      <x:c r="S30" s="176" t="str">
        <x:f>IF(A30="","",Q30-R30)</x:f>
      </x:c>
      <x:c r="T30" s="177"/>
      <x:c r="U30" s="177" t="str">
        <x:f>IF(A30="","",IF(J30="红",1,IF(J30="半红",0.5,IF(J30="走水","",IF(J30="半黑",0,IF(J30="黑",0,""))))))</x:f>
      </x:c>
      <x:c r="V30" s="177" t="str">
        <x:f>IF(A30="","",IF(O30="逻辑正确",1,IF(O30="局部正确",0.5,IF(O30="逻辑错误",0,""))))</x:f>
      </x:c>
      <x:c r="W30" s="177" t="str">
        <x:f>IF(A30="","",IF(OR(J30="红",J30="黑",J30="走水",J30="半红",J30="半黑"),1,0))</x:f>
      </x:c>
    </x:row>
    <x:row r="31">
      <x:c r="A31" s="160"/>
      <x:c r="B31" s="160"/>
      <x:c r="C31" s="160"/>
      <x:c r="D31" s="160"/>
      <x:c r="E31" s="160"/>
      <x:c r="F31" s="160"/>
      <x:c r="G31" s="161"/>
      <x:c r="H31" s="161"/>
      <x:c r="I31" s="161"/>
      <x:c r="J31" s="161"/>
      <x:c r="K31" s="161"/>
      <x:c r="L31" s="161" t="str">
        <x:f>IF(A31="","",K31-H31)</x:f>
      </x:c>
      <x:c r="M31" s="160"/>
      <x:c r="N31" s="160"/>
      <x:c r="O31" s="160"/>
      <x:c r="P31" s="160"/>
      <x:c r="Q31" s="176" t="str">
        <x:f>IF(A31="","",SUM($L$4:L31))</x:f>
      </x:c>
      <x:c r="R31" s="176" t="str">
        <x:f>IF(A31="","",MAX(0,$Q$4:Q31))</x:f>
      </x:c>
      <x:c r="S31" s="176" t="str">
        <x:f>IF(A31="","",Q31-R31)</x:f>
      </x:c>
      <x:c r="T31" s="177"/>
      <x:c r="U31" s="177" t="str">
        <x:f>IF(A31="","",IF(J31="红",1,IF(J31="半红",0.5,IF(J31="走水","",IF(J31="半黑",0,IF(J31="黑",0,""))))))</x:f>
      </x:c>
      <x:c r="V31" s="177" t="str">
        <x:f>IF(A31="","",IF(O31="逻辑正确",1,IF(O31="局部正确",0.5,IF(O31="逻辑错误",0,""))))</x:f>
      </x:c>
      <x:c r="W31" s="177" t="str">
        <x:f>IF(A31="","",IF(OR(J31="红",J31="黑",J31="走水",J31="半红",J31="半黑"),1,0))</x:f>
      </x:c>
    </x:row>
    <x:row r="32">
      <x:c r="A32" s="160"/>
      <x:c r="B32" s="160"/>
      <x:c r="C32" s="160"/>
      <x:c r="D32" s="160"/>
      <x:c r="E32" s="160"/>
      <x:c r="F32" s="160"/>
      <x:c r="G32" s="161"/>
      <x:c r="H32" s="161"/>
      <x:c r="I32" s="161"/>
      <x:c r="J32" s="161"/>
      <x:c r="K32" s="161"/>
      <x:c r="L32" s="161" t="str">
        <x:f>IF(A32="","",K32-H32)</x:f>
      </x:c>
      <x:c r="M32" s="160"/>
      <x:c r="N32" s="160"/>
      <x:c r="O32" s="160"/>
      <x:c r="P32" s="160"/>
      <x:c r="Q32" s="176" t="str">
        <x:f>IF(A32="","",SUM($L$4:L32))</x:f>
      </x:c>
      <x:c r="R32" s="176" t="str">
        <x:f>IF(A32="","",MAX(0,$Q$4:Q32))</x:f>
      </x:c>
      <x:c r="S32" s="176" t="str">
        <x:f>IF(A32="","",Q32-R32)</x:f>
      </x:c>
      <x:c r="T32" s="177"/>
      <x:c r="U32" s="177" t="str">
        <x:f>IF(A32="","",IF(J32="红",1,IF(J32="半红",0.5,IF(J32="走水","",IF(J32="半黑",0,IF(J32="黑",0,""))))))</x:f>
      </x:c>
      <x:c r="V32" s="177" t="str">
        <x:f>IF(A32="","",IF(O32="逻辑正确",1,IF(O32="局部正确",0.5,IF(O32="逻辑错误",0,""))))</x:f>
      </x:c>
      <x:c r="W32" s="177" t="str">
        <x:f>IF(A32="","",IF(OR(J32="红",J32="黑",J32="走水",J32="半红",J32="半黑"),1,0))</x:f>
      </x:c>
    </x:row>
    <x:row r="33">
      <x:c r="A33" s="160"/>
      <x:c r="B33" s="160"/>
      <x:c r="C33" s="160"/>
      <x:c r="D33" s="160"/>
      <x:c r="E33" s="160"/>
      <x:c r="F33" s="160"/>
      <x:c r="G33" s="161"/>
      <x:c r="H33" s="161"/>
      <x:c r="I33" s="161"/>
      <x:c r="J33" s="161"/>
      <x:c r="K33" s="161"/>
      <x:c r="L33" s="161" t="str">
        <x:f>IF(A33="","",K33-H33)</x:f>
      </x:c>
      <x:c r="M33" s="160"/>
      <x:c r="N33" s="160"/>
      <x:c r="O33" s="160"/>
      <x:c r="P33" s="160"/>
      <x:c r="Q33" s="176" t="str">
        <x:f>IF(A33="","",SUM($L$4:L33))</x:f>
      </x:c>
      <x:c r="R33" s="176" t="str">
        <x:f>IF(A33="","",MAX(0,$Q$4:Q33))</x:f>
      </x:c>
      <x:c r="S33" s="176" t="str">
        <x:f>IF(A33="","",Q33-R33)</x:f>
      </x:c>
      <x:c r="T33" s="177"/>
      <x:c r="U33" s="177" t="str">
        <x:f>IF(A33="","",IF(J33="红",1,IF(J33="半红",0.5,IF(J33="走水","",IF(J33="半黑",0,IF(J33="黑",0,""))))))</x:f>
      </x:c>
      <x:c r="V33" s="177" t="str">
        <x:f>IF(A33="","",IF(O33="逻辑正确",1,IF(O33="局部正确",0.5,IF(O33="逻辑错误",0,""))))</x:f>
      </x:c>
      <x:c r="W33" s="177" t="str">
        <x:f>IF(A33="","",IF(OR(J33="红",J33="黑",J33="走水",J33="半红",J33="半黑"),1,0))</x:f>
      </x:c>
    </x:row>
    <x:row r="34">
      <x:c r="A34" s="160"/>
      <x:c r="B34" s="160"/>
      <x:c r="C34" s="160"/>
      <x:c r="D34" s="160"/>
      <x:c r="E34" s="160"/>
      <x:c r="F34" s="160"/>
      <x:c r="G34" s="161"/>
      <x:c r="H34" s="161"/>
      <x:c r="I34" s="161"/>
      <x:c r="J34" s="161"/>
      <x:c r="K34" s="161"/>
      <x:c r="L34" s="161" t="str">
        <x:f>IF(A34="","",K34-H34)</x:f>
      </x:c>
      <x:c r="M34" s="160"/>
      <x:c r="N34" s="160"/>
      <x:c r="O34" s="160"/>
      <x:c r="P34" s="160"/>
      <x:c r="Q34" s="176" t="str">
        <x:f>IF(A34="","",SUM($L$4:L34))</x:f>
      </x:c>
      <x:c r="R34" s="176" t="str">
        <x:f>IF(A34="","",MAX(0,$Q$4:Q34))</x:f>
      </x:c>
      <x:c r="S34" s="176" t="str">
        <x:f>IF(A34="","",Q34-R34)</x:f>
      </x:c>
      <x:c r="T34" s="177"/>
      <x:c r="U34" s="177" t="str">
        <x:f>IF(A34="","",IF(J34="红",1,IF(J34="半红",0.5,IF(J34="走水","",IF(J34="半黑",0,IF(J34="黑",0,""))))))</x:f>
      </x:c>
      <x:c r="V34" s="177" t="str">
        <x:f>IF(A34="","",IF(O34="逻辑正确",1,IF(O34="局部正确",0.5,IF(O34="逻辑错误",0,""))))</x:f>
      </x:c>
      <x:c r="W34" s="177" t="str">
        <x:f>IF(A34="","",IF(OR(J34="红",J34="黑",J34="走水",J34="半红",J34="半黑"),1,0))</x:f>
      </x:c>
    </x:row>
    <x:row r="35">
      <x:c r="A35" s="160"/>
      <x:c r="B35" s="160"/>
      <x:c r="C35" s="160"/>
      <x:c r="D35" s="160"/>
      <x:c r="E35" s="160"/>
      <x:c r="F35" s="160"/>
      <x:c r="G35" s="161"/>
      <x:c r="H35" s="161"/>
      <x:c r="I35" s="161"/>
      <x:c r="J35" s="161"/>
      <x:c r="K35" s="161"/>
      <x:c r="L35" s="161" t="str">
        <x:f>IF(A35="","",K35-H35)</x:f>
      </x:c>
      <x:c r="M35" s="160"/>
      <x:c r="N35" s="160"/>
      <x:c r="O35" s="160"/>
      <x:c r="P35" s="160"/>
      <x:c r="Q35" s="176" t="str">
        <x:f>IF(A35="","",SUM($L$4:L35))</x:f>
      </x:c>
      <x:c r="R35" s="176" t="str">
        <x:f>IF(A35="","",MAX(0,$Q$4:Q35))</x:f>
      </x:c>
      <x:c r="S35" s="176" t="str">
        <x:f>IF(A35="","",Q35-R35)</x:f>
      </x:c>
      <x:c r="T35" s="177"/>
      <x:c r="U35" s="177" t="str">
        <x:f>IF(A35="","",IF(J35="红",1,IF(J35="半红",0.5,IF(J35="走水","",IF(J35="半黑",0,IF(J35="黑",0,""))))))</x:f>
      </x:c>
      <x:c r="V35" s="177" t="str">
        <x:f>IF(A35="","",IF(O35="逻辑正确",1,IF(O35="局部正确",0.5,IF(O35="逻辑错误",0,""))))</x:f>
      </x:c>
      <x:c r="W35" s="177" t="str">
        <x:f>IF(A35="","",IF(OR(J35="红",J35="黑",J35="走水",J35="半红",J35="半黑"),1,0))</x:f>
      </x:c>
    </x:row>
    <x:row r="36">
      <x:c r="A36" s="160"/>
      <x:c r="B36" s="160"/>
      <x:c r="C36" s="160"/>
      <x:c r="D36" s="160"/>
      <x:c r="E36" s="160"/>
      <x:c r="F36" s="160"/>
      <x:c r="G36" s="161"/>
      <x:c r="H36" s="161"/>
      <x:c r="I36" s="161"/>
      <x:c r="J36" s="161"/>
      <x:c r="K36" s="161"/>
      <x:c r="L36" s="161" t="str">
        <x:f>IF(A36="","",K36-H36)</x:f>
      </x:c>
      <x:c r="M36" s="160"/>
      <x:c r="N36" s="160"/>
      <x:c r="O36" s="160"/>
      <x:c r="P36" s="160"/>
      <x:c r="Q36" s="176" t="str">
        <x:f>IF(A36="","",SUM($L$4:L36))</x:f>
      </x:c>
      <x:c r="R36" s="176" t="str">
        <x:f>IF(A36="","",MAX(0,$Q$4:Q36))</x:f>
      </x:c>
      <x:c r="S36" s="176" t="str">
        <x:f>IF(A36="","",Q36-R36)</x:f>
      </x:c>
      <x:c r="T36" s="177"/>
      <x:c r="U36" s="177" t="str">
        <x:f>IF(A36="","",IF(J36="红",1,IF(J36="半红",0.5,IF(J36="走水","",IF(J36="半黑",0,IF(J36="黑",0,""))))))</x:f>
      </x:c>
      <x:c r="V36" s="177" t="str">
        <x:f>IF(A36="","",IF(O36="逻辑正确",1,IF(O36="局部正确",0.5,IF(O36="逻辑错误",0,""))))</x:f>
      </x:c>
      <x:c r="W36" s="177" t="str">
        <x:f>IF(A36="","",IF(OR(J36="红",J36="黑",J36="走水",J36="半红",J36="半黑"),1,0))</x:f>
      </x:c>
    </x:row>
    <x:row r="37">
      <x:c r="A37" s="160"/>
      <x:c r="B37" s="160"/>
      <x:c r="C37" s="160"/>
      <x:c r="D37" s="160"/>
      <x:c r="E37" s="160"/>
      <x:c r="F37" s="160"/>
      <x:c r="G37" s="161"/>
      <x:c r="H37" s="161"/>
      <x:c r="I37" s="161"/>
      <x:c r="J37" s="161"/>
      <x:c r="K37" s="161"/>
      <x:c r="L37" s="161" t="str">
        <x:f>IF(A37="","",K37-H37)</x:f>
      </x:c>
      <x:c r="M37" s="160"/>
      <x:c r="N37" s="160"/>
      <x:c r="O37" s="160"/>
      <x:c r="P37" s="160"/>
      <x:c r="Q37" s="176" t="str">
        <x:f>IF(A37="","",SUM($L$4:L37))</x:f>
      </x:c>
      <x:c r="R37" s="176" t="str">
        <x:f>IF(A37="","",MAX(0,$Q$4:Q37))</x:f>
      </x:c>
      <x:c r="S37" s="176" t="str">
        <x:f>IF(A37="","",Q37-R37)</x:f>
      </x:c>
      <x:c r="T37" s="177"/>
      <x:c r="U37" s="177" t="str">
        <x:f>IF(A37="","",IF(J37="红",1,IF(J37="半红",0.5,IF(J37="走水","",IF(J37="半黑",0,IF(J37="黑",0,""))))))</x:f>
      </x:c>
      <x:c r="V37" s="177" t="str">
        <x:f>IF(A37="","",IF(O37="逻辑正确",1,IF(O37="局部正确",0.5,IF(O37="逻辑错误",0,""))))</x:f>
      </x:c>
      <x:c r="W37" s="177" t="str">
        <x:f>IF(A37="","",IF(OR(J37="红",J37="黑",J37="走水",J37="半红",J37="半黑"),1,0))</x:f>
      </x:c>
    </x:row>
    <x:row r="38">
      <x:c r="A38" s="160"/>
      <x:c r="B38" s="160"/>
      <x:c r="C38" s="160"/>
      <x:c r="D38" s="160"/>
      <x:c r="E38" s="160"/>
      <x:c r="F38" s="160"/>
      <x:c r="G38" s="161"/>
      <x:c r="H38" s="161"/>
      <x:c r="I38" s="161"/>
      <x:c r="J38" s="161"/>
      <x:c r="K38" s="161"/>
      <x:c r="L38" s="161" t="str">
        <x:f>IF(A38="","",K38-H38)</x:f>
      </x:c>
      <x:c r="M38" s="160"/>
      <x:c r="N38" s="160"/>
      <x:c r="O38" s="160"/>
      <x:c r="P38" s="160"/>
      <x:c r="Q38" s="176" t="str">
        <x:f>IF(A38="","",SUM($L$4:L38))</x:f>
      </x:c>
      <x:c r="R38" s="176" t="str">
        <x:f>IF(A38="","",MAX(0,$Q$4:Q38))</x:f>
      </x:c>
      <x:c r="S38" s="176" t="str">
        <x:f>IF(A38="","",Q38-R38)</x:f>
      </x:c>
      <x:c r="T38" s="177"/>
      <x:c r="U38" s="177" t="str">
        <x:f>IF(A38="","",IF(J38="红",1,IF(J38="半红",0.5,IF(J38="走水","",IF(J38="半黑",0,IF(J38="黑",0,""))))))</x:f>
      </x:c>
      <x:c r="V38" s="177" t="str">
        <x:f>IF(A38="","",IF(O38="逻辑正确",1,IF(O38="局部正确",0.5,IF(O38="逻辑错误",0,""))))</x:f>
      </x:c>
      <x:c r="W38" s="177" t="str">
        <x:f>IF(A38="","",IF(OR(J38="红",J38="黑",J38="走水",J38="半红",J38="半黑"),1,0))</x:f>
      </x:c>
    </x:row>
    <x:row r="39">
      <x:c r="A39" s="160"/>
      <x:c r="B39" s="160"/>
      <x:c r="C39" s="160"/>
      <x:c r="D39" s="160"/>
      <x:c r="E39" s="160"/>
      <x:c r="F39" s="160"/>
      <x:c r="G39" s="161"/>
      <x:c r="H39" s="161"/>
      <x:c r="I39" s="161"/>
      <x:c r="J39" s="161"/>
      <x:c r="K39" s="161"/>
      <x:c r="L39" s="161" t="str">
        <x:f>IF(A39="","",K39-H39)</x:f>
      </x:c>
      <x:c r="M39" s="160"/>
      <x:c r="N39" s="160"/>
      <x:c r="O39" s="160"/>
      <x:c r="P39" s="160"/>
      <x:c r="Q39" s="176" t="str">
        <x:f>IF(A39="","",SUM($L$4:L39))</x:f>
      </x:c>
      <x:c r="R39" s="176" t="str">
        <x:f>IF(A39="","",MAX(0,$Q$4:Q39))</x:f>
      </x:c>
      <x:c r="S39" s="176" t="str">
        <x:f>IF(A39="","",Q39-R39)</x:f>
      </x:c>
      <x:c r="T39" s="177"/>
      <x:c r="U39" s="177" t="str">
        <x:f>IF(A39="","",IF(J39="红",1,IF(J39="半红",0.5,IF(J39="走水","",IF(J39="半黑",0,IF(J39="黑",0,""))))))</x:f>
      </x:c>
      <x:c r="V39" s="177" t="str">
        <x:f>IF(A39="","",IF(O39="逻辑正确",1,IF(O39="局部正确",0.5,IF(O39="逻辑错误",0,""))))</x:f>
      </x:c>
      <x:c r="W39" s="177" t="str">
        <x:f>IF(A39="","",IF(OR(J39="红",J39="黑",J39="走水",J39="半红",J39="半黑"),1,0))</x:f>
      </x:c>
    </x:row>
    <x:row r="40">
      <x:c r="A40" s="160"/>
      <x:c r="B40" s="160"/>
      <x:c r="C40" s="160"/>
      <x:c r="D40" s="160"/>
      <x:c r="E40" s="160"/>
      <x:c r="F40" s="160"/>
      <x:c r="G40" s="161"/>
      <x:c r="H40" s="161"/>
      <x:c r="I40" s="161"/>
      <x:c r="J40" s="161"/>
      <x:c r="K40" s="161"/>
      <x:c r="L40" s="161" t="str">
        <x:f>IF(A40="","",K40-H40)</x:f>
      </x:c>
      <x:c r="M40" s="160"/>
      <x:c r="N40" s="160"/>
      <x:c r="O40" s="160"/>
      <x:c r="P40" s="160"/>
      <x:c r="Q40" s="176" t="str">
        <x:f>IF(A40="","",SUM($L$4:L40))</x:f>
      </x:c>
      <x:c r="R40" s="176" t="str">
        <x:f>IF(A40="","",MAX(0,$Q$4:Q40))</x:f>
      </x:c>
      <x:c r="S40" s="176" t="str">
        <x:f>IF(A40="","",Q40-R40)</x:f>
      </x:c>
      <x:c r="T40" s="177"/>
      <x:c r="U40" s="177" t="str">
        <x:f>IF(A40="","",IF(J40="红",1,IF(J40="半红",0.5,IF(J40="走水","",IF(J40="半黑",0,IF(J40="黑",0,""))))))</x:f>
      </x:c>
      <x:c r="V40" s="177" t="str">
        <x:f>IF(A40="","",IF(O40="逻辑正确",1,IF(O40="局部正确",0.5,IF(O40="逻辑错误",0,""))))</x:f>
      </x:c>
      <x:c r="W40" s="177" t="str">
        <x:f>IF(A40="","",IF(OR(J40="红",J40="黑",J40="走水",J40="半红",J40="半黑"),1,0))</x:f>
      </x:c>
    </x:row>
    <x:row r="41">
      <x:c r="A41" s="160"/>
      <x:c r="B41" s="160"/>
      <x:c r="C41" s="160"/>
      <x:c r="D41" s="160"/>
      <x:c r="E41" s="160"/>
      <x:c r="F41" s="160"/>
      <x:c r="G41" s="161"/>
      <x:c r="H41" s="161"/>
      <x:c r="I41" s="161"/>
      <x:c r="J41" s="161"/>
      <x:c r="K41" s="161"/>
      <x:c r="L41" s="161" t="str">
        <x:f>IF(A41="","",K41-H41)</x:f>
      </x:c>
      <x:c r="M41" s="160"/>
      <x:c r="N41" s="160"/>
      <x:c r="O41" s="160"/>
      <x:c r="P41" s="160"/>
      <x:c r="Q41" s="176" t="str">
        <x:f>IF(A41="","",SUM($L$4:L41))</x:f>
      </x:c>
      <x:c r="R41" s="176" t="str">
        <x:f>IF(A41="","",MAX(0,$Q$4:Q41))</x:f>
      </x:c>
      <x:c r="S41" s="176" t="str">
        <x:f>IF(A41="","",Q41-R41)</x:f>
      </x:c>
      <x:c r="T41" s="177"/>
      <x:c r="U41" s="177" t="str">
        <x:f>IF(A41="","",IF(J41="红",1,IF(J41="半红",0.5,IF(J41="走水","",IF(J41="半黑",0,IF(J41="黑",0,""))))))</x:f>
      </x:c>
      <x:c r="V41" s="177" t="str">
        <x:f>IF(A41="","",IF(O41="逻辑正确",1,IF(O41="局部正确",0.5,IF(O41="逻辑错误",0,""))))</x:f>
      </x:c>
      <x:c r="W41" s="177" t="str">
        <x:f>IF(A41="","",IF(OR(J41="红",J41="黑",J41="走水",J41="半红",J41="半黑"),1,0))</x:f>
      </x:c>
    </x:row>
    <x:row r="42">
      <x:c r="A42" s="160"/>
      <x:c r="B42" s="160"/>
      <x:c r="C42" s="160"/>
      <x:c r="D42" s="160"/>
      <x:c r="E42" s="160"/>
      <x:c r="F42" s="160"/>
      <x:c r="G42" s="161"/>
      <x:c r="H42" s="161"/>
      <x:c r="I42" s="161"/>
      <x:c r="J42" s="161"/>
      <x:c r="K42" s="161"/>
      <x:c r="L42" s="161" t="str">
        <x:f>IF(A42="","",K42-H42)</x:f>
      </x:c>
      <x:c r="M42" s="160"/>
      <x:c r="N42" s="160"/>
      <x:c r="O42" s="160"/>
      <x:c r="P42" s="160"/>
      <x:c r="Q42" s="176" t="str">
        <x:f>IF(A42="","",SUM($L$4:L42))</x:f>
      </x:c>
      <x:c r="R42" s="176" t="str">
        <x:f>IF(A42="","",MAX(0,$Q$4:Q42))</x:f>
      </x:c>
      <x:c r="S42" s="176" t="str">
        <x:f>IF(A42="","",Q42-R42)</x:f>
      </x:c>
      <x:c r="T42" s="177"/>
      <x:c r="U42" s="177" t="str">
        <x:f>IF(A42="","",IF(J42="红",1,IF(J42="半红",0.5,IF(J42="走水","",IF(J42="半黑",0,IF(J42="黑",0,""))))))</x:f>
      </x:c>
      <x:c r="V42" s="177" t="str">
        <x:f>IF(A42="","",IF(O42="逻辑正确",1,IF(O42="局部正确",0.5,IF(O42="逻辑错误",0,""))))</x:f>
      </x:c>
      <x:c r="W42" s="177" t="str">
        <x:f>IF(A42="","",IF(OR(J42="红",J42="黑",J42="走水",J42="半红",J42="半黑"),1,0))</x:f>
      </x:c>
    </x:row>
    <x:row r="43">
      <x:c r="A43" s="160"/>
      <x:c r="B43" s="160"/>
      <x:c r="C43" s="160"/>
      <x:c r="D43" s="160"/>
      <x:c r="E43" s="160"/>
      <x:c r="F43" s="160"/>
      <x:c r="G43" s="161"/>
      <x:c r="H43" s="161"/>
      <x:c r="I43" s="161"/>
      <x:c r="J43" s="161"/>
      <x:c r="K43" s="161"/>
      <x:c r="L43" s="161" t="str">
        <x:f>IF(A43="","",K43-H43)</x:f>
      </x:c>
      <x:c r="M43" s="160"/>
      <x:c r="N43" s="160"/>
      <x:c r="O43" s="160"/>
      <x:c r="P43" s="160"/>
      <x:c r="Q43" s="176" t="str">
        <x:f>IF(A43="","",SUM($L$4:L43))</x:f>
      </x:c>
      <x:c r="R43" s="176" t="str">
        <x:f>IF(A43="","",MAX(0,$Q$4:Q43))</x:f>
      </x:c>
      <x:c r="S43" s="176" t="str">
        <x:f>IF(A43="","",Q43-R43)</x:f>
      </x:c>
      <x:c r="T43" s="177"/>
      <x:c r="U43" s="177" t="str">
        <x:f>IF(A43="","",IF(J43="红",1,IF(J43="半红",0.5,IF(J43="走水","",IF(J43="半黑",0,IF(J43="黑",0,""))))))</x:f>
      </x:c>
      <x:c r="V43" s="177" t="str">
        <x:f>IF(A43="","",IF(O43="逻辑正确",1,IF(O43="局部正确",0.5,IF(O43="逻辑错误",0,""))))</x:f>
      </x:c>
      <x:c r="W43" s="177" t="str">
        <x:f>IF(A43="","",IF(OR(J43="红",J43="黑",J43="走水",J43="半红",J43="半黑"),1,0))</x:f>
      </x:c>
    </x:row>
    <x:row r="44">
      <x:c r="A44" s="160"/>
      <x:c r="B44" s="160"/>
      <x:c r="C44" s="160"/>
      <x:c r="D44" s="160"/>
      <x:c r="E44" s="160"/>
      <x:c r="F44" s="160"/>
      <x:c r="G44" s="161"/>
      <x:c r="H44" s="161"/>
      <x:c r="I44" s="161"/>
      <x:c r="J44" s="161"/>
      <x:c r="K44" s="161"/>
      <x:c r="L44" s="161" t="str">
        <x:f>IF(A44="","",K44-H44)</x:f>
      </x:c>
      <x:c r="M44" s="160"/>
      <x:c r="N44" s="160"/>
      <x:c r="O44" s="160"/>
      <x:c r="P44" s="160"/>
      <x:c r="Q44" s="176" t="str">
        <x:f>IF(A44="","",SUM($L$4:L44))</x:f>
      </x:c>
      <x:c r="R44" s="176" t="str">
        <x:f>IF(A44="","",MAX(0,$Q$4:Q44))</x:f>
      </x:c>
      <x:c r="S44" s="176" t="str">
        <x:f>IF(A44="","",Q44-R44)</x:f>
      </x:c>
      <x:c r="T44" s="177"/>
      <x:c r="U44" s="177" t="str">
        <x:f>IF(A44="","",IF(J44="红",1,IF(J44="半红",0.5,IF(J44="走水","",IF(J44="半黑",0,IF(J44="黑",0,""))))))</x:f>
      </x:c>
      <x:c r="V44" s="177" t="str">
        <x:f>IF(A44="","",IF(O44="逻辑正确",1,IF(O44="局部正确",0.5,IF(O44="逻辑错误",0,""))))</x:f>
      </x:c>
      <x:c r="W44" s="177" t="str">
        <x:f>IF(A44="","",IF(OR(J44="红",J44="黑",J44="走水",J44="半红",J44="半黑"),1,0))</x:f>
      </x:c>
    </x:row>
    <x:row r="45">
      <x:c r="A45" s="160"/>
      <x:c r="B45" s="160"/>
      <x:c r="C45" s="160"/>
      <x:c r="D45" s="160"/>
      <x:c r="E45" s="160"/>
      <x:c r="F45" s="160"/>
      <x:c r="G45" s="161"/>
      <x:c r="H45" s="161"/>
      <x:c r="I45" s="161"/>
      <x:c r="J45" s="161"/>
      <x:c r="K45" s="161"/>
      <x:c r="L45" s="161" t="str">
        <x:f>IF(A45="","",K45-H45)</x:f>
      </x:c>
      <x:c r="M45" s="160"/>
      <x:c r="N45" s="160"/>
      <x:c r="O45" s="160"/>
      <x:c r="P45" s="160"/>
      <x:c r="Q45" s="176" t="str">
        <x:f>IF(A45="","",SUM($L$4:L45))</x:f>
      </x:c>
      <x:c r="R45" s="176" t="str">
        <x:f>IF(A45="","",MAX(0,$Q$4:Q45))</x:f>
      </x:c>
      <x:c r="S45" s="176" t="str">
        <x:f>IF(A45="","",Q45-R45)</x:f>
      </x:c>
      <x:c r="T45" s="177"/>
      <x:c r="U45" s="177" t="str">
        <x:f>IF(A45="","",IF(J45="红",1,IF(J45="半红",0.5,IF(J45="走水","",IF(J45="半黑",0,IF(J45="黑",0,""))))))</x:f>
      </x:c>
      <x:c r="V45" s="177" t="str">
        <x:f>IF(A45="","",IF(O45="逻辑正确",1,IF(O45="局部正确",0.5,IF(O45="逻辑错误",0,""))))</x:f>
      </x:c>
      <x:c r="W45" s="177" t="str">
        <x:f>IF(A45="","",IF(OR(J45="红",J45="黑",J45="走水",J45="半红",J45="半黑"),1,0))</x:f>
      </x:c>
    </x:row>
    <x:row r="46">
      <x:c r="A46" s="160"/>
      <x:c r="B46" s="160"/>
      <x:c r="C46" s="160"/>
      <x:c r="D46" s="160"/>
      <x:c r="E46" s="160"/>
      <x:c r="F46" s="160"/>
      <x:c r="G46" s="161"/>
      <x:c r="H46" s="161"/>
      <x:c r="I46" s="161"/>
      <x:c r="J46" s="161"/>
      <x:c r="K46" s="161"/>
      <x:c r="L46" s="161" t="str">
        <x:f>IF(A46="","",K46-H46)</x:f>
      </x:c>
      <x:c r="M46" s="160"/>
      <x:c r="N46" s="160"/>
      <x:c r="O46" s="160"/>
      <x:c r="P46" s="160"/>
      <x:c r="Q46" s="176" t="str">
        <x:f>IF(A46="","",SUM($L$4:L46))</x:f>
      </x:c>
      <x:c r="R46" s="176" t="str">
        <x:f>IF(A46="","",MAX(0,$Q$4:Q46))</x:f>
      </x:c>
      <x:c r="S46" s="176" t="str">
        <x:f>IF(A46="","",Q46-R46)</x:f>
      </x:c>
      <x:c r="T46" s="177"/>
      <x:c r="U46" s="177" t="str">
        <x:f>IF(A46="","",IF(J46="红",1,IF(J46="半红",0.5,IF(J46="走水","",IF(J46="半黑",0,IF(J46="黑",0,""))))))</x:f>
      </x:c>
      <x:c r="V46" s="177" t="str">
        <x:f>IF(A46="","",IF(O46="逻辑正确",1,IF(O46="局部正确",0.5,IF(O46="逻辑错误",0,""))))</x:f>
      </x:c>
      <x:c r="W46" s="177" t="str">
        <x:f>IF(A46="","",IF(OR(J46="红",J46="黑",J46="走水",J46="半红",J46="半黑"),1,0))</x:f>
      </x:c>
    </x:row>
    <x:row r="47">
      <x:c r="A47" s="160"/>
      <x:c r="B47" s="160"/>
      <x:c r="C47" s="160"/>
      <x:c r="D47" s="160"/>
      <x:c r="E47" s="160"/>
      <x:c r="F47" s="160"/>
      <x:c r="G47" s="161"/>
      <x:c r="H47" s="161"/>
      <x:c r="I47" s="161"/>
      <x:c r="J47" s="161"/>
      <x:c r="K47" s="161"/>
      <x:c r="L47" s="161" t="str">
        <x:f>IF(A47="","",K47-H47)</x:f>
      </x:c>
      <x:c r="M47" s="160"/>
      <x:c r="N47" s="160"/>
      <x:c r="O47" s="160"/>
      <x:c r="P47" s="160"/>
      <x:c r="Q47" s="176" t="str">
        <x:f>IF(A47="","",SUM($L$4:L47))</x:f>
      </x:c>
      <x:c r="R47" s="176" t="str">
        <x:f>IF(A47="","",MAX(0,$Q$4:Q47))</x:f>
      </x:c>
      <x:c r="S47" s="176" t="str">
        <x:f>IF(A47="","",Q47-R47)</x:f>
      </x:c>
      <x:c r="T47" s="177"/>
      <x:c r="U47" s="177" t="str">
        <x:f>IF(A47="","",IF(J47="红",1,IF(J47="半红",0.5,IF(J47="走水","",IF(J47="半黑",0,IF(J47="黑",0,""))))))</x:f>
      </x:c>
      <x:c r="V47" s="177" t="str">
        <x:f>IF(A47="","",IF(O47="逻辑正确",1,IF(O47="局部正确",0.5,IF(O47="逻辑错误",0,""))))</x:f>
      </x:c>
      <x:c r="W47" s="177" t="str">
        <x:f>IF(A47="","",IF(OR(J47="红",J47="黑",J47="走水",J47="半红",J47="半黑"),1,0))</x:f>
      </x:c>
    </x:row>
    <x:row r="48">
      <x:c r="A48" s="160"/>
      <x:c r="B48" s="160"/>
      <x:c r="C48" s="160"/>
      <x:c r="D48" s="160"/>
      <x:c r="E48" s="160"/>
      <x:c r="F48" s="160"/>
      <x:c r="G48" s="161"/>
      <x:c r="H48" s="161"/>
      <x:c r="I48" s="161"/>
      <x:c r="J48" s="161"/>
      <x:c r="K48" s="161"/>
      <x:c r="L48" s="161" t="str">
        <x:f>IF(A48="","",K48-H48)</x:f>
      </x:c>
      <x:c r="M48" s="160"/>
      <x:c r="N48" s="160"/>
      <x:c r="O48" s="160"/>
      <x:c r="P48" s="160"/>
      <x:c r="Q48" s="176" t="str">
        <x:f>IF(A48="","",SUM($L$4:L48))</x:f>
      </x:c>
      <x:c r="R48" s="176" t="str">
        <x:f>IF(A48="","",MAX(0,$Q$4:Q48))</x:f>
      </x:c>
      <x:c r="S48" s="176" t="str">
        <x:f>IF(A48="","",Q48-R48)</x:f>
      </x:c>
      <x:c r="T48" s="177"/>
      <x:c r="U48" s="177" t="str">
        <x:f>IF(A48="","",IF(J48="红",1,IF(J48="半红",0.5,IF(J48="走水","",IF(J48="半黑",0,IF(J48="黑",0,""))))))</x:f>
      </x:c>
      <x:c r="V48" s="177" t="str">
        <x:f>IF(A48="","",IF(O48="逻辑正确",1,IF(O48="局部正确",0.5,IF(O48="逻辑错误",0,""))))</x:f>
      </x:c>
      <x:c r="W48" s="177" t="str">
        <x:f>IF(A48="","",IF(OR(J48="红",J48="黑",J48="走水",J48="半红",J48="半黑"),1,0))</x:f>
      </x:c>
    </x:row>
    <x:row r="49">
      <x:c r="A49" s="160"/>
      <x:c r="B49" s="160"/>
      <x:c r="C49" s="160"/>
      <x:c r="D49" s="160"/>
      <x:c r="E49" s="160"/>
      <x:c r="F49" s="160"/>
      <x:c r="G49" s="161"/>
      <x:c r="H49" s="161"/>
      <x:c r="I49" s="161"/>
      <x:c r="J49" s="161"/>
      <x:c r="K49" s="161"/>
      <x:c r="L49" s="161" t="str">
        <x:f>IF(A49="","",K49-H49)</x:f>
      </x:c>
      <x:c r="M49" s="160"/>
      <x:c r="N49" s="160"/>
      <x:c r="O49" s="160"/>
      <x:c r="P49" s="160"/>
      <x:c r="Q49" s="176" t="str">
        <x:f>IF(A49="","",SUM($L$4:L49))</x:f>
      </x:c>
      <x:c r="R49" s="176" t="str">
        <x:f>IF(A49="","",MAX(0,$Q$4:Q49))</x:f>
      </x:c>
      <x:c r="S49" s="176" t="str">
        <x:f>IF(A49="","",Q49-R49)</x:f>
      </x:c>
      <x:c r="T49" s="177"/>
      <x:c r="U49" s="177" t="str">
        <x:f>IF(A49="","",IF(J49="红",1,IF(J49="半红",0.5,IF(J49="走水","",IF(J49="半黑",0,IF(J49="黑",0,""))))))</x:f>
      </x:c>
      <x:c r="V49" s="177" t="str">
        <x:f>IF(A49="","",IF(O49="逻辑正确",1,IF(O49="局部正确",0.5,IF(O49="逻辑错误",0,""))))</x:f>
      </x:c>
      <x:c r="W49" s="177" t="str">
        <x:f>IF(A49="","",IF(OR(J49="红",J49="黑",J49="走水",J49="半红",J49="半黑"),1,0))</x:f>
      </x:c>
    </x:row>
    <x:row r="50">
      <x:c r="A50" s="160"/>
      <x:c r="B50" s="160"/>
      <x:c r="C50" s="160"/>
      <x:c r="D50" s="160"/>
      <x:c r="E50" s="160"/>
      <x:c r="F50" s="160"/>
      <x:c r="G50" s="161"/>
      <x:c r="H50" s="161"/>
      <x:c r="I50" s="161"/>
      <x:c r="J50" s="161"/>
      <x:c r="K50" s="161"/>
      <x:c r="L50" s="161" t="str">
        <x:f>IF(A50="","",K50-H50)</x:f>
      </x:c>
      <x:c r="M50" s="160"/>
      <x:c r="N50" s="160"/>
      <x:c r="O50" s="160"/>
      <x:c r="P50" s="160"/>
      <x:c r="Q50" s="176" t="str">
        <x:f>IF(A50="","",SUM($L$4:L50))</x:f>
      </x:c>
      <x:c r="R50" s="176" t="str">
        <x:f>IF(A50="","",MAX(0,$Q$4:Q50))</x:f>
      </x:c>
      <x:c r="S50" s="176" t="str">
        <x:f>IF(A50="","",Q50-R50)</x:f>
      </x:c>
      <x:c r="T50" s="177"/>
      <x:c r="U50" s="177" t="str">
        <x:f>IF(A50="","",IF(J50="红",1,IF(J50="半红",0.5,IF(J50="走水","",IF(J50="半黑",0,IF(J50="黑",0,""))))))</x:f>
      </x:c>
      <x:c r="V50" s="177" t="str">
        <x:f>IF(A50="","",IF(O50="逻辑正确",1,IF(O50="局部正确",0.5,IF(O50="逻辑错误",0,""))))</x:f>
      </x:c>
      <x:c r="W50" s="177" t="str">
        <x:f>IF(A50="","",IF(OR(J50="红",J50="黑",J50="走水",J50="半红",J50="半黑"),1,0))</x:f>
      </x:c>
    </x:row>
    <x:row r="51">
      <x:c r="A51" s="160"/>
      <x:c r="B51" s="160"/>
      <x:c r="C51" s="160"/>
      <x:c r="D51" s="160"/>
      <x:c r="E51" s="160"/>
      <x:c r="F51" s="160"/>
      <x:c r="G51" s="161"/>
      <x:c r="H51" s="161"/>
      <x:c r="I51" s="161"/>
      <x:c r="J51" s="161"/>
      <x:c r="K51" s="161"/>
      <x:c r="L51" s="161" t="str">
        <x:f>IF(A51="","",K51-H51)</x:f>
      </x:c>
      <x:c r="M51" s="160"/>
      <x:c r="N51" s="160"/>
      <x:c r="O51" s="160"/>
      <x:c r="P51" s="160"/>
      <x:c r="Q51" s="176" t="str">
        <x:f>IF(A51="","",SUM($L$4:L51))</x:f>
      </x:c>
      <x:c r="R51" s="176" t="str">
        <x:f>IF(A51="","",MAX(0,$Q$4:Q51))</x:f>
      </x:c>
      <x:c r="S51" s="176" t="str">
        <x:f>IF(A51="","",Q51-R51)</x:f>
      </x:c>
      <x:c r="T51" s="177"/>
      <x:c r="U51" s="177" t="str">
        <x:f>IF(A51="","",IF(J51="红",1,IF(J51="半红",0.5,IF(J51="走水","",IF(J51="半黑",0,IF(J51="黑",0,""))))))</x:f>
      </x:c>
      <x:c r="V51" s="177" t="str">
        <x:f>IF(A51="","",IF(O51="逻辑正确",1,IF(O51="局部正确",0.5,IF(O51="逻辑错误",0,""))))</x:f>
      </x:c>
      <x:c r="W51" s="177" t="str">
        <x:f>IF(A51="","",IF(OR(J51="红",J51="黑",J51="走水",J51="半红",J51="半黑"),1,0))</x:f>
      </x:c>
    </x:row>
    <x:row r="52">
      <x:c r="A52" s="160"/>
      <x:c r="B52" s="160"/>
      <x:c r="C52" s="160"/>
      <x:c r="D52" s="160"/>
      <x:c r="E52" s="160"/>
      <x:c r="F52" s="160"/>
      <x:c r="G52" s="161"/>
      <x:c r="H52" s="161"/>
      <x:c r="I52" s="161"/>
      <x:c r="J52" s="161"/>
      <x:c r="K52" s="161"/>
      <x:c r="L52" s="161" t="str">
        <x:f>IF(A52="","",K52-H52)</x:f>
      </x:c>
      <x:c r="M52" s="160"/>
      <x:c r="N52" s="160"/>
      <x:c r="O52" s="160"/>
      <x:c r="P52" s="160"/>
      <x:c r="Q52" s="176" t="str">
        <x:f>IF(A52="","",SUM($L$4:L52))</x:f>
      </x:c>
      <x:c r="R52" s="176" t="str">
        <x:f>IF(A52="","",MAX(0,$Q$4:Q52))</x:f>
      </x:c>
      <x:c r="S52" s="176" t="str">
        <x:f>IF(A52="","",Q52-R52)</x:f>
      </x:c>
      <x:c r="T52" s="177"/>
      <x:c r="U52" s="177" t="str">
        <x:f>IF(A52="","",IF(J52="红",1,IF(J52="半红",0.5,IF(J52="走水","",IF(J52="半黑",0,IF(J52="黑",0,""))))))</x:f>
      </x:c>
      <x:c r="V52" s="177" t="str">
        <x:f>IF(A52="","",IF(O52="逻辑正确",1,IF(O52="局部正确",0.5,IF(O52="逻辑错误",0,""))))</x:f>
      </x:c>
      <x:c r="W52" s="177" t="str">
        <x:f>IF(A52="","",IF(OR(J52="红",J52="黑",J52="走水",J52="半红",J52="半黑"),1,0))</x:f>
      </x:c>
    </x:row>
    <x:row r="53">
      <x:c r="A53" s="160"/>
      <x:c r="B53" s="160"/>
      <x:c r="C53" s="160"/>
      <x:c r="D53" s="160"/>
      <x:c r="E53" s="160"/>
      <x:c r="F53" s="160"/>
      <x:c r="G53" s="161"/>
      <x:c r="H53" s="161"/>
      <x:c r="I53" s="161"/>
      <x:c r="J53" s="161"/>
      <x:c r="K53" s="161"/>
      <x:c r="L53" s="161" t="str">
        <x:f>IF(A53="","",K53-H53)</x:f>
      </x:c>
      <x:c r="M53" s="160"/>
      <x:c r="N53" s="160"/>
      <x:c r="O53" s="160"/>
      <x:c r="P53" s="160"/>
      <x:c r="Q53" s="176" t="str">
        <x:f>IF(A53="","",SUM($L$4:L53))</x:f>
      </x:c>
      <x:c r="R53" s="176" t="str">
        <x:f>IF(A53="","",MAX(0,$Q$4:Q53))</x:f>
      </x:c>
      <x:c r="S53" s="176" t="str">
        <x:f>IF(A53="","",Q53-R53)</x:f>
      </x:c>
      <x:c r="T53" s="177"/>
      <x:c r="U53" s="177" t="str">
        <x:f>IF(A53="","",IF(J53="红",1,IF(J53="半红",0.5,IF(J53="走水","",IF(J53="半黑",0,IF(J53="黑",0,""))))))</x:f>
      </x:c>
      <x:c r="V53" s="177" t="str">
        <x:f>IF(A53="","",IF(O53="逻辑正确",1,IF(O53="局部正确",0.5,IF(O53="逻辑错误",0,""))))</x:f>
      </x:c>
      <x:c r="W53" s="177" t="str">
        <x:f>IF(A53="","",IF(OR(J53="红",J53="黑",J53="走水",J53="半红",J53="半黑"),1,0))</x:f>
      </x:c>
    </x:row>
    <x:row r="54">
      <x:c r="A54" s="160"/>
      <x:c r="B54" s="160"/>
      <x:c r="C54" s="160"/>
      <x:c r="D54" s="160"/>
      <x:c r="E54" s="160"/>
      <x:c r="F54" s="160"/>
      <x:c r="G54" s="161"/>
      <x:c r="H54" s="161"/>
      <x:c r="I54" s="161"/>
      <x:c r="J54" s="161"/>
      <x:c r="K54" s="161"/>
      <x:c r="L54" s="161" t="str">
        <x:f>IF(A54="","",K54-H54)</x:f>
      </x:c>
      <x:c r="M54" s="160"/>
      <x:c r="N54" s="160"/>
      <x:c r="O54" s="160"/>
      <x:c r="P54" s="160"/>
      <x:c r="Q54" s="176" t="str">
        <x:f>IF(A54="","",SUM($L$4:L54))</x:f>
      </x:c>
      <x:c r="R54" s="176" t="str">
        <x:f>IF(A54="","",MAX(0,$Q$4:Q54))</x:f>
      </x:c>
      <x:c r="S54" s="176" t="str">
        <x:f>IF(A54="","",Q54-R54)</x:f>
      </x:c>
      <x:c r="T54" s="177"/>
      <x:c r="U54" s="177" t="str">
        <x:f>IF(A54="","",IF(J54="红",1,IF(J54="半红",0.5,IF(J54="走水","",IF(J54="半黑",0,IF(J54="黑",0,""))))))</x:f>
      </x:c>
      <x:c r="V54" s="177" t="str">
        <x:f>IF(A54="","",IF(O54="逻辑正确",1,IF(O54="局部正确",0.5,IF(O54="逻辑错误",0,""))))</x:f>
      </x:c>
      <x:c r="W54" s="177" t="str">
        <x:f>IF(A54="","",IF(OR(J54="红",J54="黑",J54="走水",J54="半红",J54="半黑"),1,0))</x:f>
      </x:c>
    </x:row>
    <x:row r="55">
      <x:c r="A55" s="160"/>
      <x:c r="B55" s="160"/>
      <x:c r="C55" s="160"/>
      <x:c r="D55" s="160"/>
      <x:c r="E55" s="160"/>
      <x:c r="F55" s="160"/>
      <x:c r="G55" s="161"/>
      <x:c r="H55" s="161"/>
      <x:c r="I55" s="161"/>
      <x:c r="J55" s="161"/>
      <x:c r="K55" s="161"/>
      <x:c r="L55" s="161" t="str">
        <x:f>IF(A55="","",K55-H55)</x:f>
      </x:c>
      <x:c r="M55" s="160"/>
      <x:c r="N55" s="160"/>
      <x:c r="O55" s="160"/>
      <x:c r="P55" s="160"/>
      <x:c r="Q55" s="176" t="str">
        <x:f>IF(A55="","",SUM($L$4:L55))</x:f>
      </x:c>
      <x:c r="R55" s="176" t="str">
        <x:f>IF(A55="","",MAX(0,$Q$4:Q55))</x:f>
      </x:c>
      <x:c r="S55" s="176" t="str">
        <x:f>IF(A55="","",Q55-R55)</x:f>
      </x:c>
      <x:c r="T55" s="177"/>
      <x:c r="U55" s="177" t="str">
        <x:f>IF(A55="","",IF(J55="红",1,IF(J55="半红",0.5,IF(J55="走水","",IF(J55="半黑",0,IF(J55="黑",0,""))))))</x:f>
      </x:c>
      <x:c r="V55" s="177" t="str">
        <x:f>IF(A55="","",IF(O55="逻辑正确",1,IF(O55="局部正确",0.5,IF(O55="逻辑错误",0,""))))</x:f>
      </x:c>
      <x:c r="W55" s="177" t="str">
        <x:f>IF(A55="","",IF(OR(J55="红",J55="黑",J55="走水",J55="半红",J55="半黑"),1,0))</x:f>
      </x:c>
    </x:row>
    <x:row r="56">
      <x:c r="A56" s="160"/>
      <x:c r="B56" s="160"/>
      <x:c r="C56" s="160"/>
      <x:c r="D56" s="160"/>
      <x:c r="E56" s="160"/>
      <x:c r="F56" s="160"/>
      <x:c r="G56" s="161"/>
      <x:c r="H56" s="161"/>
      <x:c r="I56" s="161"/>
      <x:c r="J56" s="161"/>
      <x:c r="K56" s="161"/>
      <x:c r="L56" s="161" t="str">
        <x:f>IF(A56="","",K56-H56)</x:f>
      </x:c>
      <x:c r="M56" s="160"/>
      <x:c r="N56" s="160"/>
      <x:c r="O56" s="160"/>
      <x:c r="P56" s="160"/>
      <x:c r="Q56" s="176" t="str">
        <x:f>IF(A56="","",SUM($L$4:L56))</x:f>
      </x:c>
      <x:c r="R56" s="176" t="str">
        <x:f>IF(A56="","",MAX(0,$Q$4:Q56))</x:f>
      </x:c>
      <x:c r="S56" s="176" t="str">
        <x:f>IF(A56="","",Q56-R56)</x:f>
      </x:c>
      <x:c r="T56" s="177"/>
      <x:c r="U56" s="177" t="str">
        <x:f>IF(A56="","",IF(J56="红",1,IF(J56="半红",0.5,IF(J56="走水","",IF(J56="半黑",0,IF(J56="黑",0,""))))))</x:f>
      </x:c>
      <x:c r="V56" s="177" t="str">
        <x:f>IF(A56="","",IF(O56="逻辑正确",1,IF(O56="局部正确",0.5,IF(O56="逻辑错误",0,""))))</x:f>
      </x:c>
      <x:c r="W56" s="177" t="str">
        <x:f>IF(A56="","",IF(OR(J56="红",J56="黑",J56="走水",J56="半红",J56="半黑"),1,0))</x:f>
      </x:c>
    </x:row>
    <x:row r="57">
      <x:c r="A57" s="160"/>
      <x:c r="B57" s="160"/>
      <x:c r="C57" s="160"/>
      <x:c r="D57" s="160"/>
      <x:c r="E57" s="160"/>
      <x:c r="F57" s="160"/>
      <x:c r="G57" s="161"/>
      <x:c r="H57" s="161"/>
      <x:c r="I57" s="161"/>
      <x:c r="J57" s="161"/>
      <x:c r="K57" s="161"/>
      <x:c r="L57" s="161" t="str">
        <x:f>IF(A57="","",K57-H57)</x:f>
      </x:c>
      <x:c r="M57" s="160"/>
      <x:c r="N57" s="160"/>
      <x:c r="O57" s="160"/>
      <x:c r="P57" s="160"/>
      <x:c r="Q57" s="176" t="str">
        <x:f>IF(A57="","",SUM($L$4:L57))</x:f>
      </x:c>
      <x:c r="R57" s="176" t="str">
        <x:f>IF(A57="","",MAX(0,$Q$4:Q57))</x:f>
      </x:c>
      <x:c r="S57" s="176" t="str">
        <x:f>IF(A57="","",Q57-R57)</x:f>
      </x:c>
      <x:c r="T57" s="177"/>
      <x:c r="U57" s="177" t="str">
        <x:f>IF(A57="","",IF(J57="红",1,IF(J57="半红",0.5,IF(J57="走水","",IF(J57="半黑",0,IF(J57="黑",0,""))))))</x:f>
      </x:c>
      <x:c r="V57" s="177" t="str">
        <x:f>IF(A57="","",IF(O57="逻辑正确",1,IF(O57="局部正确",0.5,IF(O57="逻辑错误",0,""))))</x:f>
      </x:c>
      <x:c r="W57" s="177" t="str">
        <x:f>IF(A57="","",IF(OR(J57="红",J57="黑",J57="走水",J57="半红",J57="半黑"),1,0))</x:f>
      </x:c>
    </x:row>
    <x:row r="58">
      <x:c r="A58" s="160"/>
      <x:c r="B58" s="160"/>
      <x:c r="C58" s="160"/>
      <x:c r="D58" s="160"/>
      <x:c r="E58" s="160"/>
      <x:c r="F58" s="160"/>
      <x:c r="G58" s="161"/>
      <x:c r="H58" s="161"/>
      <x:c r="I58" s="161"/>
      <x:c r="J58" s="161"/>
      <x:c r="K58" s="161"/>
      <x:c r="L58" s="161" t="str">
        <x:f>IF(A58="","",K58-H58)</x:f>
      </x:c>
      <x:c r="M58" s="160"/>
      <x:c r="N58" s="160"/>
      <x:c r="O58" s="160"/>
      <x:c r="P58" s="160"/>
      <x:c r="Q58" s="176" t="str">
        <x:f>IF(A58="","",SUM($L$4:L58))</x:f>
      </x:c>
      <x:c r="R58" s="176" t="str">
        <x:f>IF(A58="","",MAX(0,$Q$4:Q58))</x:f>
      </x:c>
      <x:c r="S58" s="176" t="str">
        <x:f>IF(A58="","",Q58-R58)</x:f>
      </x:c>
      <x:c r="T58" s="177"/>
      <x:c r="U58" s="177" t="str">
        <x:f>IF(A58="","",IF(J58="红",1,IF(J58="半红",0.5,IF(J58="走水","",IF(J58="半黑",0,IF(J58="黑",0,""))))))</x:f>
      </x:c>
      <x:c r="V58" s="177" t="str">
        <x:f>IF(A58="","",IF(O58="逻辑正确",1,IF(O58="局部正确",0.5,IF(O58="逻辑错误",0,""))))</x:f>
      </x:c>
      <x:c r="W58" s="177" t="str">
        <x:f>IF(A58="","",IF(OR(J58="红",J58="黑",J58="走水",J58="半红",J58="半黑"),1,0))</x:f>
      </x:c>
    </x:row>
    <x:row r="59">
      <x:c r="A59" s="160"/>
      <x:c r="B59" s="160"/>
      <x:c r="C59" s="160"/>
      <x:c r="D59" s="160"/>
      <x:c r="E59" s="160"/>
      <x:c r="F59" s="160"/>
      <x:c r="G59" s="161"/>
      <x:c r="H59" s="161"/>
      <x:c r="I59" s="161"/>
      <x:c r="J59" s="161"/>
      <x:c r="K59" s="161"/>
      <x:c r="L59" s="161" t="str">
        <x:f>IF(A59="","",K59-H59)</x:f>
      </x:c>
      <x:c r="M59" s="160"/>
      <x:c r="N59" s="160"/>
      <x:c r="O59" s="160"/>
      <x:c r="P59" s="160"/>
      <x:c r="Q59" s="176" t="str">
        <x:f>IF(A59="","",SUM($L$4:L59))</x:f>
      </x:c>
      <x:c r="R59" s="176" t="str">
        <x:f>IF(A59="","",MAX(0,$Q$4:Q59))</x:f>
      </x:c>
      <x:c r="S59" s="176" t="str">
        <x:f>IF(A59="","",Q59-R59)</x:f>
      </x:c>
      <x:c r="T59" s="177"/>
      <x:c r="U59" s="177" t="str">
        <x:f>IF(A59="","",IF(J59="红",1,IF(J59="半红",0.5,IF(J59="走水","",IF(J59="半黑",0,IF(J59="黑",0,""))))))</x:f>
      </x:c>
      <x:c r="V59" s="177" t="str">
        <x:f>IF(A59="","",IF(O59="逻辑正确",1,IF(O59="局部正确",0.5,IF(O59="逻辑错误",0,""))))</x:f>
      </x:c>
      <x:c r="W59" s="177" t="str">
        <x:f>IF(A59="","",IF(OR(J59="红",J59="黑",J59="走水",J59="半红",J59="半黑"),1,0))</x:f>
      </x:c>
    </x:row>
    <x:row r="60">
      <x:c r="A60" s="160"/>
      <x:c r="B60" s="160"/>
      <x:c r="C60" s="160"/>
      <x:c r="D60" s="160"/>
      <x:c r="E60" s="160"/>
      <x:c r="F60" s="160"/>
      <x:c r="G60" s="161"/>
      <x:c r="H60" s="161"/>
      <x:c r="I60" s="161"/>
      <x:c r="J60" s="161"/>
      <x:c r="K60" s="161"/>
      <x:c r="L60" s="161" t="str">
        <x:f>IF(A60="","",K60-H60)</x:f>
      </x:c>
      <x:c r="M60" s="160"/>
      <x:c r="N60" s="160"/>
      <x:c r="O60" s="160"/>
      <x:c r="P60" s="160"/>
      <x:c r="Q60" s="176" t="str">
        <x:f>IF(A60="","",SUM($L$4:L60))</x:f>
      </x:c>
      <x:c r="R60" s="176" t="str">
        <x:f>IF(A60="","",MAX(0,$Q$4:Q60))</x:f>
      </x:c>
      <x:c r="S60" s="176" t="str">
        <x:f>IF(A60="","",Q60-R60)</x:f>
      </x:c>
      <x:c r="T60" s="177"/>
      <x:c r="U60" s="177" t="str">
        <x:f>IF(A60="","",IF(J60="红",1,IF(J60="半红",0.5,IF(J60="走水","",IF(J60="半黑",0,IF(J60="黑",0,""))))))</x:f>
      </x:c>
      <x:c r="V60" s="177" t="str">
        <x:f>IF(A60="","",IF(O60="逻辑正确",1,IF(O60="局部正确",0.5,IF(O60="逻辑错误",0,""))))</x:f>
      </x:c>
      <x:c r="W60" s="177" t="str">
        <x:f>IF(A60="","",IF(OR(J60="红",J60="黑",J60="走水",J60="半红",J60="半黑"),1,0))</x:f>
      </x:c>
    </x:row>
    <x:row r="61">
      <x:c r="A61" s="160"/>
      <x:c r="B61" s="160"/>
      <x:c r="C61" s="160"/>
      <x:c r="D61" s="160"/>
      <x:c r="E61" s="160"/>
      <x:c r="F61" s="160"/>
      <x:c r="G61" s="161"/>
      <x:c r="H61" s="161"/>
      <x:c r="I61" s="161"/>
      <x:c r="J61" s="161"/>
      <x:c r="K61" s="161"/>
      <x:c r="L61" s="161" t="str">
        <x:f>IF(A61="","",K61-H61)</x:f>
      </x:c>
      <x:c r="M61" s="160"/>
      <x:c r="N61" s="160"/>
      <x:c r="O61" s="160"/>
      <x:c r="P61" s="160"/>
      <x:c r="Q61" s="176" t="str">
        <x:f>IF(A61="","",SUM($L$4:L61))</x:f>
      </x:c>
      <x:c r="R61" s="176" t="str">
        <x:f>IF(A61="","",MAX(0,$Q$4:Q61))</x:f>
      </x:c>
      <x:c r="S61" s="176" t="str">
        <x:f>IF(A61="","",Q61-R61)</x:f>
      </x:c>
      <x:c r="T61" s="177"/>
      <x:c r="U61" s="177" t="str">
        <x:f>IF(A61="","",IF(J61="红",1,IF(J61="半红",0.5,IF(J61="走水","",IF(J61="半黑",0,IF(J61="黑",0,""))))))</x:f>
      </x:c>
      <x:c r="V61" s="177" t="str">
        <x:f>IF(A61="","",IF(O61="逻辑正确",1,IF(O61="局部正确",0.5,IF(O61="逻辑错误",0,""))))</x:f>
      </x:c>
      <x:c r="W61" s="177" t="str">
        <x:f>IF(A61="","",IF(OR(J61="红",J61="黑",J61="走水",J61="半红",J61="半黑"),1,0))</x:f>
      </x:c>
    </x:row>
    <x:row r="62">
      <x:c r="A62" s="160"/>
      <x:c r="B62" s="160"/>
      <x:c r="C62" s="160"/>
      <x:c r="D62" s="160"/>
      <x:c r="E62" s="160"/>
      <x:c r="F62" s="160"/>
      <x:c r="G62" s="161"/>
      <x:c r="H62" s="161"/>
      <x:c r="I62" s="161"/>
      <x:c r="J62" s="161"/>
      <x:c r="K62" s="161"/>
      <x:c r="L62" s="161" t="str">
        <x:f>IF(A62="","",K62-H62)</x:f>
      </x:c>
      <x:c r="M62" s="160"/>
      <x:c r="N62" s="160"/>
      <x:c r="O62" s="160"/>
      <x:c r="P62" s="160"/>
      <x:c r="Q62" s="176" t="str">
        <x:f>IF(A62="","",SUM($L$4:L62))</x:f>
      </x:c>
      <x:c r="R62" s="176" t="str">
        <x:f>IF(A62="","",MAX(0,$Q$4:Q62))</x:f>
      </x:c>
      <x:c r="S62" s="176" t="str">
        <x:f>IF(A62="","",Q62-R62)</x:f>
      </x:c>
      <x:c r="T62" s="177"/>
      <x:c r="U62" s="177" t="str">
        <x:f>IF(A62="","",IF(J62="红",1,IF(J62="半红",0.5,IF(J62="走水","",IF(J62="半黑",0,IF(J62="黑",0,""))))))</x:f>
      </x:c>
      <x:c r="V62" s="177" t="str">
        <x:f>IF(A62="","",IF(O62="逻辑正确",1,IF(O62="局部正确",0.5,IF(O62="逻辑错误",0,""))))</x:f>
      </x:c>
      <x:c r="W62" s="177" t="str">
        <x:f>IF(A62="","",IF(OR(J62="红",J62="黑",J62="走水",J62="半红",J62="半黑"),1,0))</x:f>
      </x:c>
    </x:row>
    <x:row r="63">
      <x:c r="A63" s="160"/>
      <x:c r="B63" s="160"/>
      <x:c r="C63" s="160"/>
      <x:c r="D63" s="160"/>
      <x:c r="E63" s="160"/>
      <x:c r="F63" s="160"/>
      <x:c r="G63" s="161"/>
      <x:c r="H63" s="161"/>
      <x:c r="I63" s="161"/>
      <x:c r="J63" s="161"/>
      <x:c r="K63" s="161"/>
      <x:c r="L63" s="161" t="str">
        <x:f>IF(A63="","",K63-H63)</x:f>
      </x:c>
      <x:c r="M63" s="160"/>
      <x:c r="N63" s="160"/>
      <x:c r="O63" s="160"/>
      <x:c r="P63" s="160"/>
      <x:c r="Q63" s="176" t="str">
        <x:f>IF(A63="","",SUM($L$4:L63))</x:f>
      </x:c>
      <x:c r="R63" s="176" t="str">
        <x:f>IF(A63="","",MAX(0,$Q$4:Q63))</x:f>
      </x:c>
      <x:c r="S63" s="176" t="str">
        <x:f>IF(A63="","",Q63-R63)</x:f>
      </x:c>
      <x:c r="T63" s="177"/>
      <x:c r="U63" s="177" t="str">
        <x:f>IF(A63="","",IF(J63="红",1,IF(J63="半红",0.5,IF(J63="走水","",IF(J63="半黑",0,IF(J63="黑",0,""))))))</x:f>
      </x:c>
      <x:c r="V63" s="177" t="str">
        <x:f>IF(A63="","",IF(O63="逻辑正确",1,IF(O63="局部正确",0.5,IF(O63="逻辑错误",0,""))))</x:f>
      </x:c>
      <x:c r="W63" s="177" t="str">
        <x:f>IF(A63="","",IF(OR(J63="红",J63="黑",J63="走水",J63="半红",J63="半黑"),1,0))</x:f>
      </x:c>
    </x:row>
    <x:row r="64">
      <x:c r="A64" s="160"/>
      <x:c r="B64" s="160"/>
      <x:c r="C64" s="160"/>
      <x:c r="D64" s="160"/>
      <x:c r="E64" s="160"/>
      <x:c r="F64" s="160"/>
      <x:c r="G64" s="161"/>
      <x:c r="H64" s="161"/>
      <x:c r="I64" s="161"/>
      <x:c r="J64" s="161"/>
      <x:c r="K64" s="161"/>
      <x:c r="L64" s="161" t="str">
        <x:f>IF(A64="","",K64-H64)</x:f>
      </x:c>
      <x:c r="M64" s="160"/>
      <x:c r="N64" s="160"/>
      <x:c r="O64" s="160"/>
      <x:c r="P64" s="160"/>
      <x:c r="Q64" s="176" t="str">
        <x:f>IF(A64="","",SUM($L$4:L64))</x:f>
      </x:c>
      <x:c r="R64" s="176" t="str">
        <x:f>IF(A64="","",MAX(0,$Q$4:Q64))</x:f>
      </x:c>
      <x:c r="S64" s="176" t="str">
        <x:f>IF(A64="","",Q64-R64)</x:f>
      </x:c>
      <x:c r="T64" s="177"/>
      <x:c r="U64" s="177" t="str">
        <x:f>IF(A64="","",IF(J64="红",1,IF(J64="半红",0.5,IF(J64="走水","",IF(J64="半黑",0,IF(J64="黑",0,""))))))</x:f>
      </x:c>
      <x:c r="V64" s="177" t="str">
        <x:f>IF(A64="","",IF(O64="逻辑正确",1,IF(O64="局部正确",0.5,IF(O64="逻辑错误",0,""))))</x:f>
      </x:c>
      <x:c r="W64" s="177" t="str">
        <x:f>IF(A64="","",IF(OR(J64="红",J64="黑",J64="走水",J64="半红",J64="半黑"),1,0))</x:f>
      </x:c>
    </x:row>
    <x:row r="65">
      <x:c r="A65" s="160"/>
      <x:c r="B65" s="160"/>
      <x:c r="C65" s="160"/>
      <x:c r="D65" s="160"/>
      <x:c r="E65" s="160"/>
      <x:c r="F65" s="160"/>
      <x:c r="G65" s="161"/>
      <x:c r="H65" s="161"/>
      <x:c r="I65" s="161"/>
      <x:c r="J65" s="161"/>
      <x:c r="K65" s="161"/>
      <x:c r="L65" s="161" t="str">
        <x:f>IF(A65="","",K65-H65)</x:f>
      </x:c>
      <x:c r="M65" s="160"/>
      <x:c r="N65" s="160"/>
      <x:c r="O65" s="160"/>
      <x:c r="P65" s="160"/>
      <x:c r="Q65" s="176" t="str">
        <x:f>IF(A65="","",SUM($L$4:L65))</x:f>
      </x:c>
      <x:c r="R65" s="176" t="str">
        <x:f>IF(A65="","",MAX(0,$Q$4:Q65))</x:f>
      </x:c>
      <x:c r="S65" s="176" t="str">
        <x:f>IF(A65="","",Q65-R65)</x:f>
      </x:c>
      <x:c r="T65" s="177"/>
      <x:c r="U65" s="177" t="str">
        <x:f>IF(A65="","",IF(J65="红",1,IF(J65="半红",0.5,IF(J65="走水","",IF(J65="半黑",0,IF(J65="黑",0,""))))))</x:f>
      </x:c>
      <x:c r="V65" s="177" t="str">
        <x:f>IF(A65="","",IF(O65="逻辑正确",1,IF(O65="局部正确",0.5,IF(O65="逻辑错误",0,""))))</x:f>
      </x:c>
      <x:c r="W65" s="177" t="str">
        <x:f>IF(A65="","",IF(OR(J65="红",J65="黑",J65="走水",J65="半红",J65="半黑"),1,0))</x:f>
      </x:c>
    </x:row>
    <x:row r="66">
      <x:c r="A66" s="160"/>
      <x:c r="B66" s="160"/>
      <x:c r="C66" s="160"/>
      <x:c r="D66" s="160"/>
      <x:c r="E66" s="160"/>
      <x:c r="F66" s="160"/>
      <x:c r="G66" s="161"/>
      <x:c r="H66" s="161"/>
      <x:c r="I66" s="161"/>
      <x:c r="J66" s="161"/>
      <x:c r="K66" s="161"/>
      <x:c r="L66" s="161" t="str">
        <x:f>IF(A66="","",K66-H66)</x:f>
      </x:c>
      <x:c r="M66" s="160"/>
      <x:c r="N66" s="160"/>
      <x:c r="O66" s="160"/>
      <x:c r="P66" s="160"/>
      <x:c r="Q66" s="176" t="str">
        <x:f>IF(A66="","",SUM($L$4:L66))</x:f>
      </x:c>
      <x:c r="R66" s="176" t="str">
        <x:f>IF(A66="","",MAX(0,$Q$4:Q66))</x:f>
      </x:c>
      <x:c r="S66" s="176" t="str">
        <x:f>IF(A66="","",Q66-R66)</x:f>
      </x:c>
      <x:c r="T66" s="177"/>
      <x:c r="U66" s="177" t="str">
        <x:f>IF(A66="","",IF(J66="红",1,IF(J66="半红",0.5,IF(J66="走水","",IF(J66="半黑",0,IF(J66="黑",0,""))))))</x:f>
      </x:c>
      <x:c r="V66" s="177" t="str">
        <x:f>IF(A66="","",IF(O66="逻辑正确",1,IF(O66="局部正确",0.5,IF(O66="逻辑错误",0,""))))</x:f>
      </x:c>
      <x:c r="W66" s="177" t="str">
        <x:f>IF(A66="","",IF(OR(J66="红",J66="黑",J66="走水",J66="半红",J66="半黑"),1,0))</x:f>
      </x:c>
    </x:row>
    <x:row r="67">
      <x:c r="A67" s="160"/>
      <x:c r="B67" s="160"/>
      <x:c r="C67" s="160"/>
      <x:c r="D67" s="160"/>
      <x:c r="E67" s="160"/>
      <x:c r="F67" s="160"/>
      <x:c r="G67" s="161"/>
      <x:c r="H67" s="161"/>
      <x:c r="I67" s="161"/>
      <x:c r="J67" s="161"/>
      <x:c r="K67" s="161"/>
      <x:c r="L67" s="161" t="str">
        <x:f>IF(A67="","",K67-H67)</x:f>
      </x:c>
      <x:c r="M67" s="160"/>
      <x:c r="N67" s="160"/>
      <x:c r="O67" s="160"/>
      <x:c r="P67" s="160"/>
      <x:c r="Q67" s="176" t="str">
        <x:f>IF(A67="","",SUM($L$4:L67))</x:f>
      </x:c>
      <x:c r="R67" s="176" t="str">
        <x:f>IF(A67="","",MAX(0,$Q$4:Q67))</x:f>
      </x:c>
      <x:c r="S67" s="176" t="str">
        <x:f>IF(A67="","",Q67-R67)</x:f>
      </x:c>
      <x:c r="T67" s="177"/>
      <x:c r="U67" s="177" t="str">
        <x:f>IF(A67="","",IF(J67="红",1,IF(J67="半红",0.5,IF(J67="走水","",IF(J67="半黑",0,IF(J67="黑",0,""))))))</x:f>
      </x:c>
      <x:c r="V67" s="177" t="str">
        <x:f>IF(A67="","",IF(O67="逻辑正确",1,IF(O67="局部正确",0.5,IF(O67="逻辑错误",0,""))))</x:f>
      </x:c>
      <x:c r="W67" s="177" t="str">
        <x:f>IF(A67="","",IF(OR(J67="红",J67="黑",J67="走水",J67="半红",J67="半黑"),1,0))</x:f>
      </x:c>
    </x:row>
    <x:row r="68">
      <x:c r="A68" s="160"/>
      <x:c r="B68" s="160"/>
      <x:c r="C68" s="160"/>
      <x:c r="D68" s="160"/>
      <x:c r="E68" s="160"/>
      <x:c r="F68" s="160"/>
      <x:c r="G68" s="161"/>
      <x:c r="H68" s="161"/>
      <x:c r="I68" s="161"/>
      <x:c r="J68" s="161"/>
      <x:c r="K68" s="161"/>
      <x:c r="L68" s="161" t="str">
        <x:f>IF(A68="","",K68-H68)</x:f>
      </x:c>
      <x:c r="M68" s="160"/>
      <x:c r="N68" s="160"/>
      <x:c r="O68" s="160"/>
      <x:c r="P68" s="160"/>
      <x:c r="Q68" s="176" t="str">
        <x:f>IF(A68="","",SUM($L$4:L68))</x:f>
      </x:c>
      <x:c r="R68" s="176" t="str">
        <x:f>IF(A68="","",MAX(0,$Q$4:Q68))</x:f>
      </x:c>
      <x:c r="S68" s="176" t="str">
        <x:f>IF(A68="","",Q68-R68)</x:f>
      </x:c>
      <x:c r="T68" s="177"/>
      <x:c r="U68" s="177" t="str">
        <x:f>IF(A68="","",IF(J68="红",1,IF(J68="半红",0.5,IF(J68="走水","",IF(J68="半黑",0,IF(J68="黑",0,""))))))</x:f>
      </x:c>
      <x:c r="V68" s="177" t="str">
        <x:f>IF(A68="","",IF(O68="逻辑正确",1,IF(O68="局部正确",0.5,IF(O68="逻辑错误",0,""))))</x:f>
      </x:c>
      <x:c r="W68" s="177" t="str">
        <x:f>IF(A68="","",IF(OR(J68="红",J68="黑",J68="走水",J68="半红",J68="半黑"),1,0))</x:f>
      </x:c>
    </x:row>
    <x:row r="69">
      <x:c r="A69" s="160"/>
      <x:c r="B69" s="160"/>
      <x:c r="C69" s="160"/>
      <x:c r="D69" s="160"/>
      <x:c r="E69" s="160"/>
      <x:c r="F69" s="160"/>
      <x:c r="G69" s="161"/>
      <x:c r="H69" s="161"/>
      <x:c r="I69" s="161"/>
      <x:c r="J69" s="161"/>
      <x:c r="K69" s="161"/>
      <x:c r="L69" s="161" t="str">
        <x:f>IF(A69="","",K69-H69)</x:f>
      </x:c>
      <x:c r="M69" s="160"/>
      <x:c r="N69" s="160"/>
      <x:c r="O69" s="160"/>
      <x:c r="P69" s="160"/>
      <x:c r="Q69" s="176" t="str">
        <x:f>IF(A69="","",SUM($L$4:L69))</x:f>
      </x:c>
      <x:c r="R69" s="176" t="str">
        <x:f>IF(A69="","",MAX(0,$Q$4:Q69))</x:f>
      </x:c>
      <x:c r="S69" s="176" t="str">
        <x:f>IF(A69="","",Q69-R69)</x:f>
      </x:c>
      <x:c r="T69" s="177"/>
      <x:c r="U69" s="177" t="str">
        <x:f>IF(A69="","",IF(J69="红",1,IF(J69="半红",0.5,IF(J69="走水","",IF(J69="半黑",0,IF(J69="黑",0,""))))))</x:f>
      </x:c>
      <x:c r="V69" s="177" t="str">
        <x:f>IF(A69="","",IF(O69="逻辑正确",1,IF(O69="局部正确",0.5,IF(O69="逻辑错误",0,""))))</x:f>
      </x:c>
      <x:c r="W69" s="177" t="str">
        <x:f>IF(A69="","",IF(OR(J69="红",J69="黑",J69="走水",J69="半红",J69="半黑"),1,0))</x:f>
      </x:c>
    </x:row>
    <x:row r="70">
      <x:c r="A70" s="160"/>
      <x:c r="B70" s="160"/>
      <x:c r="C70" s="160"/>
      <x:c r="D70" s="160"/>
      <x:c r="E70" s="160"/>
      <x:c r="F70" s="160"/>
      <x:c r="G70" s="161"/>
      <x:c r="H70" s="161"/>
      <x:c r="I70" s="161"/>
      <x:c r="J70" s="161"/>
      <x:c r="K70" s="161"/>
      <x:c r="L70" s="161" t="str">
        <x:f>IF(A70="","",K70-H70)</x:f>
      </x:c>
      <x:c r="M70" s="160"/>
      <x:c r="N70" s="160"/>
      <x:c r="O70" s="160"/>
      <x:c r="P70" s="160"/>
      <x:c r="Q70" s="176" t="str">
        <x:f>IF(A70="","",SUM($L$4:L70))</x:f>
      </x:c>
      <x:c r="R70" s="176" t="str">
        <x:f>IF(A70="","",MAX(0,$Q$4:Q70))</x:f>
      </x:c>
      <x:c r="S70" s="176" t="str">
        <x:f>IF(A70="","",Q70-R70)</x:f>
      </x:c>
      <x:c r="T70" s="177"/>
      <x:c r="U70" s="177" t="str">
        <x:f>IF(A70="","",IF(J70="红",1,IF(J70="半红",0.5,IF(J70="走水","",IF(J70="半黑",0,IF(J70="黑",0,""))))))</x:f>
      </x:c>
      <x:c r="V70" s="177" t="str">
        <x:f>IF(A70="","",IF(O70="逻辑正确",1,IF(O70="局部正确",0.5,IF(O70="逻辑错误",0,""))))</x:f>
      </x:c>
      <x:c r="W70" s="177" t="str">
        <x:f>IF(A70="","",IF(OR(J70="红",J70="黑",J70="走水",J70="半红",J70="半黑"),1,0))</x:f>
      </x:c>
    </x:row>
    <x:row r="71">
      <x:c r="A71" s="160"/>
      <x:c r="B71" s="160"/>
      <x:c r="C71" s="160"/>
      <x:c r="D71" s="160"/>
      <x:c r="E71" s="160"/>
      <x:c r="F71" s="160"/>
      <x:c r="G71" s="161"/>
      <x:c r="H71" s="161"/>
      <x:c r="I71" s="161"/>
      <x:c r="J71" s="161"/>
      <x:c r="K71" s="161"/>
      <x:c r="L71" s="161" t="str">
        <x:f>IF(A71="","",K71-H71)</x:f>
      </x:c>
      <x:c r="M71" s="160"/>
      <x:c r="N71" s="160"/>
      <x:c r="O71" s="160"/>
      <x:c r="P71" s="160"/>
      <x:c r="Q71" s="176" t="str">
        <x:f>IF(A71="","",SUM($L$4:L71))</x:f>
      </x:c>
      <x:c r="R71" s="176" t="str">
        <x:f>IF(A71="","",MAX(0,$Q$4:Q71))</x:f>
      </x:c>
      <x:c r="S71" s="176" t="str">
        <x:f>IF(A71="","",Q71-R71)</x:f>
      </x:c>
      <x:c r="T71" s="177"/>
      <x:c r="U71" s="177" t="str">
        <x:f>IF(A71="","",IF(J71="红",1,IF(J71="半红",0.5,IF(J71="走水","",IF(J71="半黑",0,IF(J71="黑",0,""))))))</x:f>
      </x:c>
      <x:c r="V71" s="177" t="str">
        <x:f>IF(A71="","",IF(O71="逻辑正确",1,IF(O71="局部正确",0.5,IF(O71="逻辑错误",0,""))))</x:f>
      </x:c>
      <x:c r="W71" s="177" t="str">
        <x:f>IF(A71="","",IF(OR(J71="红",J71="黑",J71="走水",J71="半红",J71="半黑"),1,0))</x:f>
      </x:c>
    </x:row>
    <x:row r="72">
      <x:c r="A72" s="160"/>
      <x:c r="B72" s="160"/>
      <x:c r="C72" s="160"/>
      <x:c r="D72" s="160"/>
      <x:c r="E72" s="160"/>
      <x:c r="F72" s="160"/>
      <x:c r="G72" s="161"/>
      <x:c r="H72" s="161"/>
      <x:c r="I72" s="161"/>
      <x:c r="J72" s="161"/>
      <x:c r="K72" s="161"/>
      <x:c r="L72" s="161" t="str">
        <x:f>IF(A72="","",K72-H72)</x:f>
      </x:c>
      <x:c r="M72" s="160"/>
      <x:c r="N72" s="160"/>
      <x:c r="O72" s="160"/>
      <x:c r="P72" s="160"/>
      <x:c r="Q72" s="176" t="str">
        <x:f>IF(A72="","",SUM($L$4:L72))</x:f>
      </x:c>
      <x:c r="R72" s="176" t="str">
        <x:f>IF(A72="","",MAX(0,$Q$4:Q72))</x:f>
      </x:c>
      <x:c r="S72" s="176" t="str">
        <x:f>IF(A72="","",Q72-R72)</x:f>
      </x:c>
      <x:c r="T72" s="177"/>
      <x:c r="U72" s="177" t="str">
        <x:f>IF(A72="","",IF(J72="红",1,IF(J72="半红",0.5,IF(J72="走水","",IF(J72="半黑",0,IF(J72="黑",0,""))))))</x:f>
      </x:c>
      <x:c r="V72" s="177" t="str">
        <x:f>IF(A72="","",IF(O72="逻辑正确",1,IF(O72="局部正确",0.5,IF(O72="逻辑错误",0,""))))</x:f>
      </x:c>
      <x:c r="W72" s="177" t="str">
        <x:f>IF(A72="","",IF(OR(J72="红",J72="黑",J72="走水",J72="半红",J72="半黑"),1,0))</x:f>
      </x:c>
    </x:row>
    <x:row r="73">
      <x:c r="A73" s="160"/>
      <x:c r="B73" s="160"/>
      <x:c r="C73" s="160"/>
      <x:c r="D73" s="160"/>
      <x:c r="E73" s="160"/>
      <x:c r="F73" s="160"/>
      <x:c r="G73" s="161"/>
      <x:c r="H73" s="161"/>
      <x:c r="I73" s="161"/>
      <x:c r="J73" s="161"/>
      <x:c r="K73" s="161"/>
      <x:c r="L73" s="161" t="str">
        <x:f>IF(A73="","",K73-H73)</x:f>
      </x:c>
      <x:c r="M73" s="160"/>
      <x:c r="N73" s="160"/>
      <x:c r="O73" s="160"/>
      <x:c r="P73" s="160"/>
      <x:c r="Q73" s="176" t="str">
        <x:f>IF(A73="","",SUM($L$4:L73))</x:f>
      </x:c>
      <x:c r="R73" s="176" t="str">
        <x:f>IF(A73="","",MAX(0,$Q$4:Q73))</x:f>
      </x:c>
      <x:c r="S73" s="176" t="str">
        <x:f>IF(A73="","",Q73-R73)</x:f>
      </x:c>
      <x:c r="T73" s="177"/>
      <x:c r="U73" s="177" t="str">
        <x:f>IF(A73="","",IF(J73="红",1,IF(J73="半红",0.5,IF(J73="走水","",IF(J73="半黑",0,IF(J73="黑",0,""))))))</x:f>
      </x:c>
      <x:c r="V73" s="177" t="str">
        <x:f>IF(A73="","",IF(O73="逻辑正确",1,IF(O73="局部正确",0.5,IF(O73="逻辑错误",0,""))))</x:f>
      </x:c>
      <x:c r="W73" s="177" t="str">
        <x:f>IF(A73="","",IF(OR(J73="红",J73="黑",J73="走水",J73="半红",J73="半黑"),1,0))</x:f>
      </x:c>
    </x:row>
    <x:row r="74">
      <x:c r="A74" s="160"/>
      <x:c r="B74" s="160"/>
      <x:c r="C74" s="160"/>
      <x:c r="D74" s="160"/>
      <x:c r="E74" s="160"/>
      <x:c r="F74" s="160"/>
      <x:c r="G74" s="161"/>
      <x:c r="H74" s="161"/>
      <x:c r="I74" s="161"/>
      <x:c r="J74" s="161"/>
      <x:c r="K74" s="161"/>
      <x:c r="L74" s="161" t="str">
        <x:f>IF(A74="","",K74-H74)</x:f>
      </x:c>
      <x:c r="M74" s="160"/>
      <x:c r="N74" s="160"/>
      <x:c r="O74" s="160"/>
      <x:c r="P74" s="160"/>
      <x:c r="Q74" s="176" t="str">
        <x:f>IF(A74="","",SUM($L$4:L74))</x:f>
      </x:c>
      <x:c r="R74" s="176" t="str">
        <x:f>IF(A74="","",MAX(0,$Q$4:Q74))</x:f>
      </x:c>
      <x:c r="S74" s="176" t="str">
        <x:f>IF(A74="","",Q74-R74)</x:f>
      </x:c>
      <x:c r="T74" s="177"/>
      <x:c r="U74" s="177" t="str">
        <x:f>IF(A74="","",IF(J74="红",1,IF(J74="半红",0.5,IF(J74="走水","",IF(J74="半黑",0,IF(J74="黑",0,""))))))</x:f>
      </x:c>
      <x:c r="V74" s="177" t="str">
        <x:f>IF(A74="","",IF(O74="逻辑正确",1,IF(O74="局部正确",0.5,IF(O74="逻辑错误",0,""))))</x:f>
      </x:c>
      <x:c r="W74" s="177" t="str">
        <x:f>IF(A74="","",IF(OR(J74="红",J74="黑",J74="走水",J74="半红",J74="半黑"),1,0))</x:f>
      </x:c>
    </x:row>
    <x:row r="75">
      <x:c r="A75" s="160"/>
      <x:c r="B75" s="160"/>
      <x:c r="C75" s="160"/>
      <x:c r="D75" s="160"/>
      <x:c r="E75" s="160"/>
      <x:c r="F75" s="160"/>
      <x:c r="G75" s="161"/>
      <x:c r="H75" s="161"/>
      <x:c r="I75" s="161"/>
      <x:c r="J75" s="161"/>
      <x:c r="K75" s="161"/>
      <x:c r="L75" s="161" t="str">
        <x:f>IF(A75="","",K75-H75)</x:f>
      </x:c>
      <x:c r="M75" s="160"/>
      <x:c r="N75" s="160"/>
      <x:c r="O75" s="160"/>
      <x:c r="P75" s="160"/>
      <x:c r="Q75" s="176" t="str">
        <x:f>IF(A75="","",SUM($L$4:L75))</x:f>
      </x:c>
      <x:c r="R75" s="176" t="str">
        <x:f>IF(A75="","",MAX(0,$Q$4:Q75))</x:f>
      </x:c>
      <x:c r="S75" s="176" t="str">
        <x:f>IF(A75="","",Q75-R75)</x:f>
      </x:c>
      <x:c r="T75" s="177"/>
      <x:c r="U75" s="177" t="str">
        <x:f>IF(A75="","",IF(J75="红",1,IF(J75="半红",0.5,IF(J75="走水","",IF(J75="半黑",0,IF(J75="黑",0,""))))))</x:f>
      </x:c>
      <x:c r="V75" s="177" t="str">
        <x:f>IF(A75="","",IF(O75="逻辑正确",1,IF(O75="局部正确",0.5,IF(O75="逻辑错误",0,""))))</x:f>
      </x:c>
      <x:c r="W75" s="177" t="str">
        <x:f>IF(A75="","",IF(OR(J75="红",J75="黑",J75="走水",J75="半红",J75="半黑"),1,0))</x:f>
      </x:c>
    </x:row>
    <x:row r="76">
      <x:c r="A76" s="160"/>
      <x:c r="B76" s="160"/>
      <x:c r="C76" s="160"/>
      <x:c r="D76" s="160"/>
      <x:c r="E76" s="160"/>
      <x:c r="F76" s="160"/>
      <x:c r="G76" s="161"/>
      <x:c r="H76" s="161"/>
      <x:c r="I76" s="161"/>
      <x:c r="J76" s="161"/>
      <x:c r="K76" s="161"/>
      <x:c r="L76" s="161" t="str">
        <x:f>IF(A76="","",K76-H76)</x:f>
      </x:c>
      <x:c r="M76" s="160"/>
      <x:c r="N76" s="160"/>
      <x:c r="O76" s="160"/>
      <x:c r="P76" s="160"/>
      <x:c r="Q76" s="176" t="str">
        <x:f>IF(A76="","",SUM($L$4:L76))</x:f>
      </x:c>
      <x:c r="R76" s="176" t="str">
        <x:f>IF(A76="","",MAX(0,$Q$4:Q76))</x:f>
      </x:c>
      <x:c r="S76" s="176" t="str">
        <x:f>IF(A76="","",Q76-R76)</x:f>
      </x:c>
      <x:c r="T76" s="177"/>
      <x:c r="U76" s="177" t="str">
        <x:f>IF(A76="","",IF(J76="红",1,IF(J76="半红",0.5,IF(J76="走水","",IF(J76="半黑",0,IF(J76="黑",0,""))))))</x:f>
      </x:c>
      <x:c r="V76" s="177" t="str">
        <x:f>IF(A76="","",IF(O76="逻辑正确",1,IF(O76="局部正确",0.5,IF(O76="逻辑错误",0,""))))</x:f>
      </x:c>
      <x:c r="W76" s="177" t="str">
        <x:f>IF(A76="","",IF(OR(J76="红",J76="黑",J76="走水",J76="半红",J76="半黑"),1,0))</x:f>
      </x:c>
    </x:row>
    <x:row r="77">
      <x:c r="A77" s="160"/>
      <x:c r="B77" s="160"/>
      <x:c r="C77" s="160"/>
      <x:c r="D77" s="160"/>
      <x:c r="E77" s="160"/>
      <x:c r="F77" s="160"/>
      <x:c r="G77" s="161"/>
      <x:c r="H77" s="161"/>
      <x:c r="I77" s="161"/>
      <x:c r="J77" s="161"/>
      <x:c r="K77" s="161"/>
      <x:c r="L77" s="161" t="str">
        <x:f>IF(A77="","",K77-H77)</x:f>
      </x:c>
      <x:c r="M77" s="160"/>
      <x:c r="N77" s="160"/>
      <x:c r="O77" s="160"/>
      <x:c r="P77" s="160"/>
      <x:c r="Q77" s="176" t="str">
        <x:f>IF(A77="","",SUM($L$4:L77))</x:f>
      </x:c>
      <x:c r="R77" s="176" t="str">
        <x:f>IF(A77="","",MAX(0,$Q$4:Q77))</x:f>
      </x:c>
      <x:c r="S77" s="176" t="str">
        <x:f>IF(A77="","",Q77-R77)</x:f>
      </x:c>
      <x:c r="T77" s="177"/>
      <x:c r="U77" s="177" t="str">
        <x:f>IF(A77="","",IF(J77="红",1,IF(J77="半红",0.5,IF(J77="走水","",IF(J77="半黑",0,IF(J77="黑",0,""))))))</x:f>
      </x:c>
      <x:c r="V77" s="177" t="str">
        <x:f>IF(A77="","",IF(O77="逻辑正确",1,IF(O77="局部正确",0.5,IF(O77="逻辑错误",0,""))))</x:f>
      </x:c>
      <x:c r="W77" s="177" t="str">
        <x:f>IF(A77="","",IF(OR(J77="红",J77="黑",J77="走水",J77="半红",J77="半黑"),1,0))</x:f>
      </x:c>
    </x:row>
    <x:row r="78">
      <x:c r="A78" s="160"/>
      <x:c r="B78" s="160"/>
      <x:c r="C78" s="160"/>
      <x:c r="D78" s="160"/>
      <x:c r="E78" s="160"/>
      <x:c r="F78" s="160"/>
      <x:c r="G78" s="161"/>
      <x:c r="H78" s="161"/>
      <x:c r="I78" s="161"/>
      <x:c r="J78" s="161"/>
      <x:c r="K78" s="161"/>
      <x:c r="L78" s="161" t="str">
        <x:f>IF(A78="","",K78-H78)</x:f>
      </x:c>
      <x:c r="M78" s="160"/>
      <x:c r="N78" s="160"/>
      <x:c r="O78" s="160"/>
      <x:c r="P78" s="160"/>
      <x:c r="Q78" s="176" t="str">
        <x:f>IF(A78="","",SUM($L$4:L78))</x:f>
      </x:c>
      <x:c r="R78" s="176" t="str">
        <x:f>IF(A78="","",MAX(0,$Q$4:Q78))</x:f>
      </x:c>
      <x:c r="S78" s="176" t="str">
        <x:f>IF(A78="","",Q78-R78)</x:f>
      </x:c>
      <x:c r="T78" s="177"/>
      <x:c r="U78" s="177" t="str">
        <x:f>IF(A78="","",IF(J78="红",1,IF(J78="半红",0.5,IF(J78="走水","",IF(J78="半黑",0,IF(J78="黑",0,""))))))</x:f>
      </x:c>
      <x:c r="V78" s="177" t="str">
        <x:f>IF(A78="","",IF(O78="逻辑正确",1,IF(O78="局部正确",0.5,IF(O78="逻辑错误",0,""))))</x:f>
      </x:c>
      <x:c r="W78" s="177" t="str">
        <x:f>IF(A78="","",IF(OR(J78="红",J78="黑",J78="走水",J78="半红",J78="半黑"),1,0))</x:f>
      </x:c>
    </x:row>
    <x:row r="79">
      <x:c r="A79" s="160"/>
      <x:c r="B79" s="160"/>
      <x:c r="C79" s="160"/>
      <x:c r="D79" s="160"/>
      <x:c r="E79" s="160"/>
      <x:c r="F79" s="160"/>
      <x:c r="G79" s="161"/>
      <x:c r="H79" s="161"/>
      <x:c r="I79" s="161"/>
      <x:c r="J79" s="161"/>
      <x:c r="K79" s="161"/>
      <x:c r="L79" s="161" t="str">
        <x:f>IF(A79="","",K79-H79)</x:f>
      </x:c>
      <x:c r="M79" s="160"/>
      <x:c r="N79" s="160"/>
      <x:c r="O79" s="160"/>
      <x:c r="P79" s="160"/>
      <x:c r="Q79" s="176" t="str">
        <x:f>IF(A79="","",SUM($L$4:L79))</x:f>
      </x:c>
      <x:c r="R79" s="176" t="str">
        <x:f>IF(A79="","",MAX(0,$Q$4:Q79))</x:f>
      </x:c>
      <x:c r="S79" s="176" t="str">
        <x:f>IF(A79="","",Q79-R79)</x:f>
      </x:c>
      <x:c r="T79" s="177"/>
      <x:c r="U79" s="177" t="str">
        <x:f>IF(A79="","",IF(J79="红",1,IF(J79="半红",0.5,IF(J79="走水","",IF(J79="半黑",0,IF(J79="黑",0,""))))))</x:f>
      </x:c>
      <x:c r="V79" s="177" t="str">
        <x:f>IF(A79="","",IF(O79="逻辑正确",1,IF(O79="局部正确",0.5,IF(O79="逻辑错误",0,""))))</x:f>
      </x:c>
      <x:c r="W79" s="177" t="str">
        <x:f>IF(A79="","",IF(OR(J79="红",J79="黑",J79="走水",J79="半红",J79="半黑"),1,0))</x:f>
      </x:c>
    </x:row>
    <x:row r="80">
      <x:c r="A80" s="160"/>
      <x:c r="B80" s="160"/>
      <x:c r="C80" s="160"/>
      <x:c r="D80" s="160"/>
      <x:c r="E80" s="160"/>
      <x:c r="F80" s="160"/>
      <x:c r="G80" s="161"/>
      <x:c r="H80" s="161"/>
      <x:c r="I80" s="161"/>
      <x:c r="J80" s="161"/>
      <x:c r="K80" s="161"/>
      <x:c r="L80" s="161" t="str">
        <x:f>IF(A80="","",K80-H80)</x:f>
      </x:c>
      <x:c r="M80" s="160"/>
      <x:c r="N80" s="160"/>
      <x:c r="O80" s="160"/>
      <x:c r="P80" s="160"/>
      <x:c r="Q80" s="176" t="str">
        <x:f>IF(A80="","",SUM($L$4:L80))</x:f>
      </x:c>
      <x:c r="R80" s="176" t="str">
        <x:f>IF(A80="","",MAX(0,$Q$4:Q80))</x:f>
      </x:c>
      <x:c r="S80" s="176" t="str">
        <x:f>IF(A80="","",Q80-R80)</x:f>
      </x:c>
      <x:c r="T80" s="177"/>
      <x:c r="U80" s="177" t="str">
        <x:f>IF(A80="","",IF(J80="红",1,IF(J80="半红",0.5,IF(J80="走水","",IF(J80="半黑",0,IF(J80="黑",0,""))))))</x:f>
      </x:c>
      <x:c r="V80" s="177" t="str">
        <x:f>IF(A80="","",IF(O80="逻辑正确",1,IF(O80="局部正确",0.5,IF(O80="逻辑错误",0,""))))</x:f>
      </x:c>
      <x:c r="W80" s="177" t="str">
        <x:f>IF(A80="","",IF(OR(J80="红",J80="黑",J80="走水",J80="半红",J80="半黑"),1,0))</x:f>
      </x:c>
    </x:row>
    <x:row r="81">
      <x:c r="A81" s="160"/>
      <x:c r="B81" s="160"/>
      <x:c r="C81" s="160"/>
      <x:c r="D81" s="160"/>
      <x:c r="E81" s="160"/>
      <x:c r="F81" s="160"/>
      <x:c r="G81" s="161"/>
      <x:c r="H81" s="161"/>
      <x:c r="I81" s="161"/>
      <x:c r="J81" s="161"/>
      <x:c r="K81" s="161"/>
      <x:c r="L81" s="161" t="str">
        <x:f>IF(A81="","",K81-H81)</x:f>
      </x:c>
      <x:c r="M81" s="160"/>
      <x:c r="N81" s="160"/>
      <x:c r="O81" s="160"/>
      <x:c r="P81" s="160"/>
      <x:c r="Q81" s="176" t="str">
        <x:f>IF(A81="","",SUM($L$4:L81))</x:f>
      </x:c>
      <x:c r="R81" s="176" t="str">
        <x:f>IF(A81="","",MAX(0,$Q$4:Q81))</x:f>
      </x:c>
      <x:c r="S81" s="176" t="str">
        <x:f>IF(A81="","",Q81-R81)</x:f>
      </x:c>
      <x:c r="T81" s="177"/>
      <x:c r="U81" s="177" t="str">
        <x:f>IF(A81="","",IF(J81="红",1,IF(J81="半红",0.5,IF(J81="走水","",IF(J81="半黑",0,IF(J81="黑",0,""))))))</x:f>
      </x:c>
      <x:c r="V81" s="177" t="str">
        <x:f>IF(A81="","",IF(O81="逻辑正确",1,IF(O81="局部正确",0.5,IF(O81="逻辑错误",0,""))))</x:f>
      </x:c>
      <x:c r="W81" s="177" t="str">
        <x:f>IF(A81="","",IF(OR(J81="红",J81="黑",J81="走水",J81="半红",J81="半黑"),1,0))</x:f>
      </x:c>
    </x:row>
    <x:row r="82">
      <x:c r="A82" s="160"/>
      <x:c r="B82" s="160"/>
      <x:c r="C82" s="160"/>
      <x:c r="D82" s="160"/>
      <x:c r="E82" s="160"/>
      <x:c r="F82" s="160"/>
      <x:c r="G82" s="161"/>
      <x:c r="H82" s="161"/>
      <x:c r="I82" s="161"/>
      <x:c r="J82" s="161"/>
      <x:c r="K82" s="161"/>
      <x:c r="L82" s="161" t="str">
        <x:f>IF(A82="","",K82-H82)</x:f>
      </x:c>
      <x:c r="M82" s="160"/>
      <x:c r="N82" s="160"/>
      <x:c r="O82" s="160"/>
      <x:c r="P82" s="160"/>
      <x:c r="Q82" s="176" t="str">
        <x:f>IF(A82="","",SUM($L$4:L82))</x:f>
      </x:c>
      <x:c r="R82" s="176" t="str">
        <x:f>IF(A82="","",MAX(0,$Q$4:Q82))</x:f>
      </x:c>
      <x:c r="S82" s="176" t="str">
        <x:f>IF(A82="","",Q82-R82)</x:f>
      </x:c>
      <x:c r="T82" s="177"/>
      <x:c r="U82" s="177" t="str">
        <x:f>IF(A82="","",IF(J82="红",1,IF(J82="半红",0.5,IF(J82="走水","",IF(J82="半黑",0,IF(J82="黑",0,""))))))</x:f>
      </x:c>
      <x:c r="V82" s="177" t="str">
        <x:f>IF(A82="","",IF(O82="逻辑正确",1,IF(O82="局部正确",0.5,IF(O82="逻辑错误",0,""))))</x:f>
      </x:c>
      <x:c r="W82" s="177" t="str">
        <x:f>IF(A82="","",IF(OR(J82="红",J82="黑",J82="走水",J82="半红",J82="半黑"),1,0))</x:f>
      </x:c>
    </x:row>
    <x:row r="83">
      <x:c r="A83" s="160"/>
      <x:c r="B83" s="160"/>
      <x:c r="C83" s="160"/>
      <x:c r="D83" s="160"/>
      <x:c r="E83" s="160"/>
      <x:c r="F83" s="160"/>
      <x:c r="G83" s="161"/>
      <x:c r="H83" s="161"/>
      <x:c r="I83" s="161"/>
      <x:c r="J83" s="161"/>
      <x:c r="K83" s="161"/>
      <x:c r="L83" s="161" t="str">
        <x:f>IF(A83="","",K83-H83)</x:f>
      </x:c>
      <x:c r="M83" s="160"/>
      <x:c r="N83" s="160"/>
      <x:c r="O83" s="160"/>
      <x:c r="P83" s="160"/>
      <x:c r="Q83" s="176" t="str">
        <x:f>IF(A83="","",SUM($L$4:L83))</x:f>
      </x:c>
      <x:c r="R83" s="176" t="str">
        <x:f>IF(A83="","",MAX(0,$Q$4:Q83))</x:f>
      </x:c>
      <x:c r="S83" s="176" t="str">
        <x:f>IF(A83="","",Q83-R83)</x:f>
      </x:c>
      <x:c r="T83" s="177"/>
      <x:c r="U83" s="177" t="str">
        <x:f>IF(A83="","",IF(J83="红",1,IF(J83="半红",0.5,IF(J83="走水","",IF(J83="半黑",0,IF(J83="黑",0,""))))))</x:f>
      </x:c>
      <x:c r="V83" s="177" t="str">
        <x:f>IF(A83="","",IF(O83="逻辑正确",1,IF(O83="局部正确",0.5,IF(O83="逻辑错误",0,""))))</x:f>
      </x:c>
      <x:c r="W83" s="177" t="str">
        <x:f>IF(A83="","",IF(OR(J83="红",J83="黑",J83="走水",J83="半红",J83="半黑"),1,0))</x:f>
      </x:c>
    </x:row>
    <x:row r="84">
      <x:c r="A84" s="160"/>
      <x:c r="B84" s="160"/>
      <x:c r="C84" s="160"/>
      <x:c r="D84" s="160"/>
      <x:c r="E84" s="160"/>
      <x:c r="F84" s="160"/>
      <x:c r="G84" s="161"/>
      <x:c r="H84" s="161"/>
      <x:c r="I84" s="161"/>
      <x:c r="J84" s="161"/>
      <x:c r="K84" s="161"/>
      <x:c r="L84" s="161" t="str">
        <x:f>IF(A84="","",K84-H84)</x:f>
      </x:c>
      <x:c r="M84" s="160"/>
      <x:c r="N84" s="160"/>
      <x:c r="O84" s="160"/>
      <x:c r="P84" s="160"/>
      <x:c r="Q84" s="176" t="str">
        <x:f>IF(A84="","",SUM($L$4:L84))</x:f>
      </x:c>
      <x:c r="R84" s="176" t="str">
        <x:f>IF(A84="","",MAX(0,$Q$4:Q84))</x:f>
      </x:c>
      <x:c r="S84" s="176" t="str">
        <x:f>IF(A84="","",Q84-R84)</x:f>
      </x:c>
      <x:c r="T84" s="177"/>
      <x:c r="U84" s="177" t="str">
        <x:f>IF(A84="","",IF(J84="红",1,IF(J84="半红",0.5,IF(J84="走水","",IF(J84="半黑",0,IF(J84="黑",0,""))))))</x:f>
      </x:c>
      <x:c r="V84" s="177" t="str">
        <x:f>IF(A84="","",IF(O84="逻辑正确",1,IF(O84="局部正确",0.5,IF(O84="逻辑错误",0,""))))</x:f>
      </x:c>
      <x:c r="W84" s="177" t="str">
        <x:f>IF(A84="","",IF(OR(J84="红",J84="黑",J84="走水",J84="半红",J84="半黑"),1,0))</x:f>
      </x:c>
    </x:row>
    <x:row r="85">
      <x:c r="A85" s="160"/>
      <x:c r="B85" s="160"/>
      <x:c r="C85" s="160"/>
      <x:c r="D85" s="160"/>
      <x:c r="E85" s="160"/>
      <x:c r="F85" s="160"/>
      <x:c r="G85" s="161"/>
      <x:c r="H85" s="161"/>
      <x:c r="I85" s="161"/>
      <x:c r="J85" s="161"/>
      <x:c r="K85" s="161"/>
      <x:c r="L85" s="161" t="str">
        <x:f>IF(A85="","",K85-H85)</x:f>
      </x:c>
      <x:c r="M85" s="160"/>
      <x:c r="N85" s="160"/>
      <x:c r="O85" s="160"/>
      <x:c r="P85" s="160"/>
      <x:c r="Q85" s="176" t="str">
        <x:f>IF(A85="","",SUM($L$4:L85))</x:f>
      </x:c>
      <x:c r="R85" s="176" t="str">
        <x:f>IF(A85="","",MAX(0,$Q$4:Q85))</x:f>
      </x:c>
      <x:c r="S85" s="176" t="str">
        <x:f>IF(A85="","",Q85-R85)</x:f>
      </x:c>
      <x:c r="T85" s="177"/>
      <x:c r="U85" s="177" t="str">
        <x:f>IF(A85="","",IF(J85="红",1,IF(J85="半红",0.5,IF(J85="走水","",IF(J85="半黑",0,IF(J85="黑",0,""))))))</x:f>
      </x:c>
      <x:c r="V85" s="177" t="str">
        <x:f>IF(A85="","",IF(O85="逻辑正确",1,IF(O85="局部正确",0.5,IF(O85="逻辑错误",0,""))))</x:f>
      </x:c>
      <x:c r="W85" s="177" t="str">
        <x:f>IF(A85="","",IF(OR(J85="红",J85="黑",J85="走水",J85="半红",J85="半黑"),1,0))</x:f>
      </x:c>
    </x:row>
    <x:row r="86">
      <x:c r="A86" s="160"/>
      <x:c r="B86" s="160"/>
      <x:c r="C86" s="160"/>
      <x:c r="D86" s="160"/>
      <x:c r="E86" s="160"/>
      <x:c r="F86" s="160"/>
      <x:c r="G86" s="161"/>
      <x:c r="H86" s="161"/>
      <x:c r="I86" s="161"/>
      <x:c r="J86" s="161"/>
      <x:c r="K86" s="161"/>
      <x:c r="L86" s="161" t="str">
        <x:f>IF(A86="","",K86-H86)</x:f>
      </x:c>
      <x:c r="M86" s="160"/>
      <x:c r="N86" s="160"/>
      <x:c r="O86" s="160"/>
      <x:c r="P86" s="160"/>
      <x:c r="Q86" s="176" t="str">
        <x:f>IF(A86="","",SUM($L$4:L86))</x:f>
      </x:c>
      <x:c r="R86" s="176" t="str">
        <x:f>IF(A86="","",MAX(0,$Q$4:Q86))</x:f>
      </x:c>
      <x:c r="S86" s="176" t="str">
        <x:f>IF(A86="","",Q86-R86)</x:f>
      </x:c>
      <x:c r="T86" s="177"/>
      <x:c r="U86" s="177" t="str">
        <x:f>IF(A86="","",IF(J86="红",1,IF(J86="半红",0.5,IF(J86="走水","",IF(J86="半黑",0,IF(J86="黑",0,""))))))</x:f>
      </x:c>
      <x:c r="V86" s="177" t="str">
        <x:f>IF(A86="","",IF(O86="逻辑正确",1,IF(O86="局部正确",0.5,IF(O86="逻辑错误",0,""))))</x:f>
      </x:c>
      <x:c r="W86" s="177" t="str">
        <x:f>IF(A86="","",IF(OR(J86="红",J86="黑",J86="走水",J86="半红",J86="半黑"),1,0))</x:f>
      </x:c>
    </x:row>
    <x:row r="87">
      <x:c r="A87" s="160"/>
      <x:c r="B87" s="160"/>
      <x:c r="C87" s="160"/>
      <x:c r="D87" s="160"/>
      <x:c r="E87" s="160"/>
      <x:c r="F87" s="160"/>
      <x:c r="G87" s="161"/>
      <x:c r="H87" s="161"/>
      <x:c r="I87" s="161"/>
      <x:c r="J87" s="161"/>
      <x:c r="K87" s="161"/>
      <x:c r="L87" s="161" t="str">
        <x:f>IF(A87="","",K87-H87)</x:f>
      </x:c>
      <x:c r="M87" s="160"/>
      <x:c r="N87" s="160"/>
      <x:c r="O87" s="160"/>
      <x:c r="P87" s="160"/>
      <x:c r="Q87" s="176" t="str">
        <x:f>IF(A87="","",SUM($L$4:L87))</x:f>
      </x:c>
      <x:c r="R87" s="176" t="str">
        <x:f>IF(A87="","",MAX(0,$Q$4:Q87))</x:f>
      </x:c>
      <x:c r="S87" s="176" t="str">
        <x:f>IF(A87="","",Q87-R87)</x:f>
      </x:c>
      <x:c r="T87" s="177"/>
      <x:c r="U87" s="177" t="str">
        <x:f>IF(A87="","",IF(J87="红",1,IF(J87="半红",0.5,IF(J87="走水","",IF(J87="半黑",0,IF(J87="黑",0,""))))))</x:f>
      </x:c>
      <x:c r="V87" s="177" t="str">
        <x:f>IF(A87="","",IF(O87="逻辑正确",1,IF(O87="局部正确",0.5,IF(O87="逻辑错误",0,""))))</x:f>
      </x:c>
      <x:c r="W87" s="177" t="str">
        <x:f>IF(A87="","",IF(OR(J87="红",J87="黑",J87="走水",J87="半红",J87="半黑"),1,0))</x:f>
      </x:c>
    </x:row>
    <x:row r="88">
      <x:c r="A88" s="160"/>
      <x:c r="B88" s="160"/>
      <x:c r="C88" s="160"/>
      <x:c r="D88" s="160"/>
      <x:c r="E88" s="160"/>
      <x:c r="F88" s="160"/>
      <x:c r="G88" s="161"/>
      <x:c r="H88" s="161"/>
      <x:c r="I88" s="161"/>
      <x:c r="J88" s="161"/>
      <x:c r="K88" s="161"/>
      <x:c r="L88" s="161" t="str">
        <x:f>IF(A88="","",K88-H88)</x:f>
      </x:c>
      <x:c r="M88" s="160"/>
      <x:c r="N88" s="160"/>
      <x:c r="O88" s="160"/>
      <x:c r="P88" s="160"/>
      <x:c r="Q88" s="176" t="str">
        <x:f>IF(A88="","",SUM($L$4:L88))</x:f>
      </x:c>
      <x:c r="R88" s="176" t="str">
        <x:f>IF(A88="","",MAX(0,$Q$4:Q88))</x:f>
      </x:c>
      <x:c r="S88" s="176" t="str">
        <x:f>IF(A88="","",Q88-R88)</x:f>
      </x:c>
      <x:c r="T88" s="177"/>
      <x:c r="U88" s="177" t="str">
        <x:f>IF(A88="","",IF(J88="红",1,IF(J88="半红",0.5,IF(J88="走水","",IF(J88="半黑",0,IF(J88="黑",0,""))))))</x:f>
      </x:c>
      <x:c r="V88" s="177" t="str">
        <x:f>IF(A88="","",IF(O88="逻辑正确",1,IF(O88="局部正确",0.5,IF(O88="逻辑错误",0,""))))</x:f>
      </x:c>
      <x:c r="W88" s="177" t="str">
        <x:f>IF(A88="","",IF(OR(J88="红",J88="黑",J88="走水",J88="半红",J88="半黑"),1,0))</x:f>
      </x:c>
    </x:row>
    <x:row r="89">
      <x:c r="A89" s="160"/>
      <x:c r="B89" s="160"/>
      <x:c r="C89" s="160"/>
      <x:c r="D89" s="160"/>
      <x:c r="E89" s="160"/>
      <x:c r="F89" s="160"/>
      <x:c r="G89" s="161"/>
      <x:c r="H89" s="161"/>
      <x:c r="I89" s="161"/>
      <x:c r="J89" s="161"/>
      <x:c r="K89" s="161"/>
      <x:c r="L89" s="161" t="str">
        <x:f>IF(A89="","",K89-H89)</x:f>
      </x:c>
      <x:c r="M89" s="160"/>
      <x:c r="N89" s="160"/>
      <x:c r="O89" s="160"/>
      <x:c r="P89" s="160"/>
      <x:c r="Q89" s="176" t="str">
        <x:f>IF(A89="","",SUM($L$4:L89))</x:f>
      </x:c>
      <x:c r="R89" s="176" t="str">
        <x:f>IF(A89="","",MAX(0,$Q$4:Q89))</x:f>
      </x:c>
      <x:c r="S89" s="176" t="str">
        <x:f>IF(A89="","",Q89-R89)</x:f>
      </x:c>
      <x:c r="T89" s="177"/>
      <x:c r="U89" s="177" t="str">
        <x:f>IF(A89="","",IF(J89="红",1,IF(J89="半红",0.5,IF(J89="走水","",IF(J89="半黑",0,IF(J89="黑",0,""))))))</x:f>
      </x:c>
      <x:c r="V89" s="177" t="str">
        <x:f>IF(A89="","",IF(O89="逻辑正确",1,IF(O89="局部正确",0.5,IF(O89="逻辑错误",0,""))))</x:f>
      </x:c>
      <x:c r="W89" s="177" t="str">
        <x:f>IF(A89="","",IF(OR(J89="红",J89="黑",J89="走水",J89="半红",J89="半黑"),1,0))</x:f>
      </x:c>
    </x:row>
    <x:row r="90">
      <x:c r="A90" s="160"/>
      <x:c r="B90" s="160"/>
      <x:c r="C90" s="160"/>
      <x:c r="D90" s="160"/>
      <x:c r="E90" s="160"/>
      <x:c r="F90" s="160"/>
      <x:c r="G90" s="161"/>
      <x:c r="H90" s="161"/>
      <x:c r="I90" s="161"/>
      <x:c r="J90" s="161"/>
      <x:c r="K90" s="161"/>
      <x:c r="L90" s="161" t="str">
        <x:f>IF(A90="","",K90-H90)</x:f>
      </x:c>
      <x:c r="M90" s="160"/>
      <x:c r="N90" s="160"/>
      <x:c r="O90" s="160"/>
      <x:c r="P90" s="160"/>
      <x:c r="Q90" s="176" t="str">
        <x:f>IF(A90="","",SUM($L$4:L90))</x:f>
      </x:c>
      <x:c r="R90" s="176" t="str">
        <x:f>IF(A90="","",MAX(0,$Q$4:Q90))</x:f>
      </x:c>
      <x:c r="S90" s="176" t="str">
        <x:f>IF(A90="","",Q90-R90)</x:f>
      </x:c>
      <x:c r="T90" s="177"/>
      <x:c r="U90" s="177" t="str">
        <x:f>IF(A90="","",IF(J90="红",1,IF(J90="半红",0.5,IF(J90="走水","",IF(J90="半黑",0,IF(J90="黑",0,""))))))</x:f>
      </x:c>
      <x:c r="V90" s="177" t="str">
        <x:f>IF(A90="","",IF(O90="逻辑正确",1,IF(O90="局部正确",0.5,IF(O90="逻辑错误",0,""))))</x:f>
      </x:c>
      <x:c r="W90" s="177" t="str">
        <x:f>IF(A90="","",IF(OR(J90="红",J90="黑",J90="走水",J90="半红",J90="半黑"),1,0))</x:f>
      </x:c>
    </x:row>
    <x:row r="91">
      <x:c r="A91" s="160"/>
      <x:c r="B91" s="160"/>
      <x:c r="C91" s="160"/>
      <x:c r="D91" s="160"/>
      <x:c r="E91" s="160"/>
      <x:c r="F91" s="160"/>
      <x:c r="G91" s="161"/>
      <x:c r="H91" s="161"/>
      <x:c r="I91" s="161"/>
      <x:c r="J91" s="161"/>
      <x:c r="K91" s="161"/>
      <x:c r="L91" s="161" t="str">
        <x:f>IF(A91="","",K91-H91)</x:f>
      </x:c>
      <x:c r="M91" s="160"/>
      <x:c r="N91" s="160"/>
      <x:c r="O91" s="160"/>
      <x:c r="P91" s="160"/>
      <x:c r="Q91" s="176" t="str">
        <x:f>IF(A91="","",SUM($L$4:L91))</x:f>
      </x:c>
      <x:c r="R91" s="176" t="str">
        <x:f>IF(A91="","",MAX(0,$Q$4:Q91))</x:f>
      </x:c>
      <x:c r="S91" s="176" t="str">
        <x:f>IF(A91="","",Q91-R91)</x:f>
      </x:c>
      <x:c r="T91" s="177"/>
      <x:c r="U91" s="177" t="str">
        <x:f>IF(A91="","",IF(J91="红",1,IF(J91="半红",0.5,IF(J91="走水","",IF(J91="半黑",0,IF(J91="黑",0,""))))))</x:f>
      </x:c>
      <x:c r="V91" s="177" t="str">
        <x:f>IF(A91="","",IF(O91="逻辑正确",1,IF(O91="局部正确",0.5,IF(O91="逻辑错误",0,""))))</x:f>
      </x:c>
      <x:c r="W91" s="177" t="str">
        <x:f>IF(A91="","",IF(OR(J91="红",J91="黑",J91="走水",J91="半红",J91="半黑"),1,0))</x:f>
      </x:c>
    </x:row>
    <x:row r="92">
      <x:c r="A92" s="160"/>
      <x:c r="B92" s="160"/>
      <x:c r="C92" s="160"/>
      <x:c r="D92" s="160"/>
      <x:c r="E92" s="160"/>
      <x:c r="F92" s="160"/>
      <x:c r="G92" s="161"/>
      <x:c r="H92" s="161"/>
      <x:c r="I92" s="161"/>
      <x:c r="J92" s="161"/>
      <x:c r="K92" s="161"/>
      <x:c r="L92" s="161" t="str">
        <x:f>IF(A92="","",K92-H92)</x:f>
      </x:c>
      <x:c r="M92" s="160"/>
      <x:c r="N92" s="160"/>
      <x:c r="O92" s="160"/>
      <x:c r="P92" s="160"/>
      <x:c r="Q92" s="176" t="str">
        <x:f>IF(A92="","",SUM($L$4:L92))</x:f>
      </x:c>
      <x:c r="R92" s="176" t="str">
        <x:f>IF(A92="","",MAX(0,$Q$4:Q92))</x:f>
      </x:c>
      <x:c r="S92" s="176" t="str">
        <x:f>IF(A92="","",Q92-R92)</x:f>
      </x:c>
      <x:c r="T92" s="177"/>
      <x:c r="U92" s="177" t="str">
        <x:f>IF(A92="","",IF(J92="红",1,IF(J92="半红",0.5,IF(J92="走水","",IF(J92="半黑",0,IF(J92="黑",0,""))))))</x:f>
      </x:c>
      <x:c r="V92" s="177" t="str">
        <x:f>IF(A92="","",IF(O92="逻辑正确",1,IF(O92="局部正确",0.5,IF(O92="逻辑错误",0,""))))</x:f>
      </x:c>
      <x:c r="W92" s="177" t="str">
        <x:f>IF(A92="","",IF(OR(J92="红",J92="黑",J92="走水",J92="半红",J92="半黑"),1,0))</x:f>
      </x:c>
    </x:row>
    <x:row r="93">
      <x:c r="A93" s="160"/>
      <x:c r="B93" s="160"/>
      <x:c r="C93" s="160"/>
      <x:c r="D93" s="160"/>
      <x:c r="E93" s="160"/>
      <x:c r="F93" s="160"/>
      <x:c r="G93" s="161"/>
      <x:c r="H93" s="161"/>
      <x:c r="I93" s="161"/>
      <x:c r="J93" s="161"/>
      <x:c r="K93" s="161"/>
      <x:c r="L93" s="161" t="str">
        <x:f>IF(A93="","",K93-H93)</x:f>
      </x:c>
      <x:c r="M93" s="160"/>
      <x:c r="N93" s="160"/>
      <x:c r="O93" s="160"/>
      <x:c r="P93" s="160"/>
      <x:c r="Q93" s="176" t="str">
        <x:f>IF(A93="","",SUM($L$4:L93))</x:f>
      </x:c>
      <x:c r="R93" s="176" t="str">
        <x:f>IF(A93="","",MAX(0,$Q$4:Q93))</x:f>
      </x:c>
      <x:c r="S93" s="176" t="str">
        <x:f>IF(A93="","",Q93-R93)</x:f>
      </x:c>
      <x:c r="T93" s="177"/>
      <x:c r="U93" s="177" t="str">
        <x:f>IF(A93="","",IF(J93="红",1,IF(J93="半红",0.5,IF(J93="走水","",IF(J93="半黑",0,IF(J93="黑",0,""))))))</x:f>
      </x:c>
      <x:c r="V93" s="177" t="str">
        <x:f>IF(A93="","",IF(O93="逻辑正确",1,IF(O93="局部正确",0.5,IF(O93="逻辑错误",0,""))))</x:f>
      </x:c>
      <x:c r="W93" s="177" t="str">
        <x:f>IF(A93="","",IF(OR(J93="红",J93="黑",J93="走水",J93="半红",J93="半黑"),1,0))</x:f>
      </x:c>
    </x:row>
    <x:row r="94">
      <x:c r="A94" s="160"/>
      <x:c r="B94" s="160"/>
      <x:c r="C94" s="160"/>
      <x:c r="D94" s="160"/>
      <x:c r="E94" s="160"/>
      <x:c r="F94" s="160"/>
      <x:c r="G94" s="161"/>
      <x:c r="H94" s="161"/>
      <x:c r="I94" s="161"/>
      <x:c r="J94" s="161"/>
      <x:c r="K94" s="161"/>
      <x:c r="L94" s="161" t="str">
        <x:f>IF(A94="","",K94-H94)</x:f>
      </x:c>
      <x:c r="M94" s="160"/>
      <x:c r="N94" s="160"/>
      <x:c r="O94" s="160"/>
      <x:c r="P94" s="160"/>
      <x:c r="Q94" s="176" t="str">
        <x:f>IF(A94="","",SUM($L$4:L94))</x:f>
      </x:c>
      <x:c r="R94" s="176" t="str">
        <x:f>IF(A94="","",MAX(0,$Q$4:Q94))</x:f>
      </x:c>
      <x:c r="S94" s="176" t="str">
        <x:f>IF(A94="","",Q94-R94)</x:f>
      </x:c>
      <x:c r="T94" s="177"/>
      <x:c r="U94" s="177" t="str">
        <x:f>IF(A94="","",IF(J94="红",1,IF(J94="半红",0.5,IF(J94="走水","",IF(J94="半黑",0,IF(J94="黑",0,""))))))</x:f>
      </x:c>
      <x:c r="V94" s="177" t="str">
        <x:f>IF(A94="","",IF(O94="逻辑正确",1,IF(O94="局部正确",0.5,IF(O94="逻辑错误",0,""))))</x:f>
      </x:c>
      <x:c r="W94" s="177" t="str">
        <x:f>IF(A94="","",IF(OR(J94="红",J94="黑",J94="走水",J94="半红",J94="半黑"),1,0))</x:f>
      </x:c>
    </x:row>
    <x:row r="95">
      <x:c r="A95" s="160"/>
      <x:c r="B95" s="160"/>
      <x:c r="C95" s="160"/>
      <x:c r="D95" s="160"/>
      <x:c r="E95" s="160"/>
      <x:c r="F95" s="160"/>
      <x:c r="G95" s="161"/>
      <x:c r="H95" s="161"/>
      <x:c r="I95" s="161"/>
      <x:c r="J95" s="161"/>
      <x:c r="K95" s="161"/>
      <x:c r="L95" s="161" t="str">
        <x:f>IF(A95="","",K95-H95)</x:f>
      </x:c>
      <x:c r="M95" s="160"/>
      <x:c r="N95" s="160"/>
      <x:c r="O95" s="160"/>
      <x:c r="P95" s="160"/>
      <x:c r="Q95" s="176" t="str">
        <x:f>IF(A95="","",SUM($L$4:L95))</x:f>
      </x:c>
      <x:c r="R95" s="176" t="str">
        <x:f>IF(A95="","",MAX(0,$Q$4:Q95))</x:f>
      </x:c>
      <x:c r="S95" s="176" t="str">
        <x:f>IF(A95="","",Q95-R95)</x:f>
      </x:c>
      <x:c r="T95" s="177"/>
      <x:c r="U95" s="177" t="str">
        <x:f>IF(A95="","",IF(J95="红",1,IF(J95="半红",0.5,IF(J95="走水","",IF(J95="半黑",0,IF(J95="黑",0,""))))))</x:f>
      </x:c>
      <x:c r="V95" s="177" t="str">
        <x:f>IF(A95="","",IF(O95="逻辑正确",1,IF(O95="局部正确",0.5,IF(O95="逻辑错误",0,""))))</x:f>
      </x:c>
      <x:c r="W95" s="177" t="str">
        <x:f>IF(A95="","",IF(OR(J95="红",J95="黑",J95="走水",J95="半红",J95="半黑"),1,0))</x:f>
      </x:c>
    </x:row>
    <x:row r="96">
      <x:c r="A96" s="160"/>
      <x:c r="B96" s="160"/>
      <x:c r="C96" s="160"/>
      <x:c r="D96" s="160"/>
      <x:c r="E96" s="160"/>
      <x:c r="F96" s="160"/>
      <x:c r="G96" s="161"/>
      <x:c r="H96" s="161"/>
      <x:c r="I96" s="161"/>
      <x:c r="J96" s="161"/>
      <x:c r="K96" s="161"/>
      <x:c r="L96" s="161" t="str">
        <x:f>IF(A96="","",K96-H96)</x:f>
      </x:c>
      <x:c r="M96" s="160"/>
      <x:c r="N96" s="160"/>
      <x:c r="O96" s="160"/>
      <x:c r="P96" s="160"/>
      <x:c r="Q96" s="176" t="str">
        <x:f>IF(A96="","",SUM($L$4:L96))</x:f>
      </x:c>
      <x:c r="R96" s="176" t="str">
        <x:f>IF(A96="","",MAX(0,$Q$4:Q96))</x:f>
      </x:c>
      <x:c r="S96" s="176" t="str">
        <x:f>IF(A96="","",Q96-R96)</x:f>
      </x:c>
      <x:c r="T96" s="177"/>
      <x:c r="U96" s="177" t="str">
        <x:f>IF(A96="","",IF(J96="红",1,IF(J96="半红",0.5,IF(J96="走水","",IF(J96="半黑",0,IF(J96="黑",0,""))))))</x:f>
      </x:c>
      <x:c r="V96" s="177" t="str">
        <x:f>IF(A96="","",IF(O96="逻辑正确",1,IF(O96="局部正确",0.5,IF(O96="逻辑错误",0,""))))</x:f>
      </x:c>
      <x:c r="W96" s="177" t="str">
        <x:f>IF(A96="","",IF(OR(J96="红",J96="黑",J96="走水",J96="半红",J96="半黑"),1,0))</x:f>
      </x:c>
    </x:row>
    <x:row r="97">
      <x:c r="A97" s="160"/>
      <x:c r="B97" s="160"/>
      <x:c r="C97" s="160"/>
      <x:c r="D97" s="160"/>
      <x:c r="E97" s="160"/>
      <x:c r="F97" s="160"/>
      <x:c r="G97" s="161"/>
      <x:c r="H97" s="161"/>
      <x:c r="I97" s="161"/>
      <x:c r="J97" s="161"/>
      <x:c r="K97" s="161"/>
      <x:c r="L97" s="161" t="str">
        <x:f>IF(A97="","",K97-H97)</x:f>
      </x:c>
      <x:c r="M97" s="160"/>
      <x:c r="N97" s="160"/>
      <x:c r="O97" s="160"/>
      <x:c r="P97" s="160"/>
      <x:c r="Q97" s="176" t="str">
        <x:f>IF(A97="","",SUM($L$4:L97))</x:f>
      </x:c>
      <x:c r="R97" s="176" t="str">
        <x:f>IF(A97="","",MAX(0,$Q$4:Q97))</x:f>
      </x:c>
      <x:c r="S97" s="176" t="str">
        <x:f>IF(A97="","",Q97-R97)</x:f>
      </x:c>
      <x:c r="T97" s="177"/>
      <x:c r="U97" s="177" t="str">
        <x:f>IF(A97="","",IF(J97="红",1,IF(J97="半红",0.5,IF(J97="走水","",IF(J97="半黑",0,IF(J97="黑",0,""))))))</x:f>
      </x:c>
      <x:c r="V97" s="177" t="str">
        <x:f>IF(A97="","",IF(O97="逻辑正确",1,IF(O97="局部正确",0.5,IF(O97="逻辑错误",0,""))))</x:f>
      </x:c>
      <x:c r="W97" s="177" t="str">
        <x:f>IF(A97="","",IF(OR(J97="红",J97="黑",J97="走水",J97="半红",J97="半黑"),1,0))</x:f>
      </x:c>
    </x:row>
    <x:row r="98">
      <x:c r="A98" s="160"/>
      <x:c r="B98" s="160"/>
      <x:c r="C98" s="160"/>
      <x:c r="D98" s="160"/>
      <x:c r="E98" s="160"/>
      <x:c r="F98" s="160"/>
      <x:c r="G98" s="161"/>
      <x:c r="H98" s="161"/>
      <x:c r="I98" s="161"/>
      <x:c r="J98" s="161"/>
      <x:c r="K98" s="161"/>
      <x:c r="L98" s="161" t="str">
        <x:f>IF(A98="","",K98-H98)</x:f>
      </x:c>
      <x:c r="M98" s="160"/>
      <x:c r="N98" s="160"/>
      <x:c r="O98" s="160"/>
      <x:c r="P98" s="160"/>
      <x:c r="Q98" s="176" t="str">
        <x:f>IF(A98="","",SUM($L$4:L98))</x:f>
      </x:c>
      <x:c r="R98" s="176" t="str">
        <x:f>IF(A98="","",MAX(0,$Q$4:Q98))</x:f>
      </x:c>
      <x:c r="S98" s="176" t="str">
        <x:f>IF(A98="","",Q98-R98)</x:f>
      </x:c>
      <x:c r="T98" s="177"/>
      <x:c r="U98" s="177" t="str">
        <x:f>IF(A98="","",IF(J98="红",1,IF(J98="半红",0.5,IF(J98="走水","",IF(J98="半黑",0,IF(J98="黑",0,""))))))</x:f>
      </x:c>
      <x:c r="V98" s="177" t="str">
        <x:f>IF(A98="","",IF(O98="逻辑正确",1,IF(O98="局部正确",0.5,IF(O98="逻辑错误",0,""))))</x:f>
      </x:c>
      <x:c r="W98" s="177" t="str">
        <x:f>IF(A98="","",IF(OR(J98="红",J98="黑",J98="走水",J98="半红",J98="半黑"),1,0))</x:f>
      </x:c>
    </x:row>
    <x:row r="99">
      <x:c r="A99" s="160"/>
      <x:c r="B99" s="160"/>
      <x:c r="C99" s="160"/>
      <x:c r="D99" s="160"/>
      <x:c r="E99" s="160"/>
      <x:c r="F99" s="160"/>
      <x:c r="G99" s="161"/>
      <x:c r="H99" s="161"/>
      <x:c r="I99" s="161"/>
      <x:c r="J99" s="161"/>
      <x:c r="K99" s="161"/>
      <x:c r="L99" s="161" t="str">
        <x:f>IF(A99="","",K99-H99)</x:f>
      </x:c>
      <x:c r="M99" s="160"/>
      <x:c r="N99" s="160"/>
      <x:c r="O99" s="160"/>
      <x:c r="P99" s="160"/>
      <x:c r="Q99" s="176" t="str">
        <x:f>IF(A99="","",SUM($L$4:L99))</x:f>
      </x:c>
      <x:c r="R99" s="176" t="str">
        <x:f>IF(A99="","",MAX(0,$Q$4:Q99))</x:f>
      </x:c>
      <x:c r="S99" s="176" t="str">
        <x:f>IF(A99="","",Q99-R99)</x:f>
      </x:c>
      <x:c r="T99" s="177"/>
      <x:c r="U99" s="177" t="str">
        <x:f>IF(A99="","",IF(J99="红",1,IF(J99="半红",0.5,IF(J99="走水","",IF(J99="半黑",0,IF(J99="黑",0,""))))))</x:f>
      </x:c>
      <x:c r="V99" s="177" t="str">
        <x:f>IF(A99="","",IF(O99="逻辑正确",1,IF(O99="局部正确",0.5,IF(O99="逻辑错误",0,""))))</x:f>
      </x:c>
      <x:c r="W99" s="177" t="str">
        <x:f>IF(A99="","",IF(OR(J99="红",J99="黑",J99="走水",J99="半红",J99="半黑"),1,0))</x:f>
      </x:c>
    </x:row>
    <x:row r="100">
      <x:c r="A100" s="160"/>
      <x:c r="B100" s="160"/>
      <x:c r="C100" s="160"/>
      <x:c r="D100" s="160"/>
      <x:c r="E100" s="160"/>
      <x:c r="F100" s="160"/>
      <x:c r="G100" s="161"/>
      <x:c r="H100" s="161"/>
      <x:c r="I100" s="161"/>
      <x:c r="J100" s="161"/>
      <x:c r="K100" s="161"/>
      <x:c r="L100" s="161" t="str">
        <x:f>IF(A100="","",K100-H100)</x:f>
      </x:c>
      <x:c r="M100" s="160"/>
      <x:c r="N100" s="160"/>
      <x:c r="O100" s="160"/>
      <x:c r="P100" s="160"/>
      <x:c r="Q100" s="176" t="str">
        <x:f>IF(A100="","",SUM($L$4:L100))</x:f>
      </x:c>
      <x:c r="R100" s="176" t="str">
        <x:f>IF(A100="","",MAX(0,$Q$4:Q100))</x:f>
      </x:c>
      <x:c r="S100" s="176" t="str">
        <x:f>IF(A100="","",Q100-R100)</x:f>
      </x:c>
      <x:c r="T100" s="177"/>
      <x:c r="U100" s="177" t="str">
        <x:f>IF(A100="","",IF(J100="红",1,IF(J100="半红",0.5,IF(J100="走水","",IF(J100="半黑",0,IF(J100="黑",0,""))))))</x:f>
      </x:c>
      <x:c r="V100" s="177" t="str">
        <x:f>IF(A100="","",IF(O100="逻辑正确",1,IF(O100="局部正确",0.5,IF(O100="逻辑错误",0,""))))</x:f>
      </x:c>
      <x:c r="W100" s="177" t="str">
        <x:f>IF(A100="","",IF(OR(J100="红",J100="黑",J100="走水",J100="半红",J100="半黑"),1,0))</x:f>
      </x:c>
    </x:row>
    <x:row r="101">
      <x:c r="A101" s="160"/>
      <x:c r="B101" s="160"/>
      <x:c r="C101" s="160"/>
      <x:c r="D101" s="160"/>
      <x:c r="E101" s="160"/>
      <x:c r="F101" s="160"/>
      <x:c r="G101" s="161"/>
      <x:c r="H101" s="161"/>
      <x:c r="I101" s="161"/>
      <x:c r="J101" s="161"/>
      <x:c r="K101" s="161"/>
      <x:c r="L101" s="161" t="str">
        <x:f>IF(A101="","",K101-H101)</x:f>
      </x:c>
      <x:c r="M101" s="160"/>
      <x:c r="N101" s="160"/>
      <x:c r="O101" s="160"/>
      <x:c r="P101" s="160"/>
      <x:c r="Q101" s="176" t="str">
        <x:f>IF(A101="","",SUM($L$4:L101))</x:f>
      </x:c>
      <x:c r="R101" s="176" t="str">
        <x:f>IF(A101="","",MAX(0,$Q$4:Q101))</x:f>
      </x:c>
      <x:c r="S101" s="176" t="str">
        <x:f>IF(A101="","",Q101-R101)</x:f>
      </x:c>
      <x:c r="T101" s="177"/>
      <x:c r="U101" s="177" t="str">
        <x:f>IF(A101="","",IF(J101="红",1,IF(J101="半红",0.5,IF(J101="走水","",IF(J101="半黑",0,IF(J101="黑",0,""))))))</x:f>
      </x:c>
      <x:c r="V101" s="177" t="str">
        <x:f>IF(A101="","",IF(O101="逻辑正确",1,IF(O101="局部正确",0.5,IF(O101="逻辑错误",0,""))))</x:f>
      </x:c>
      <x:c r="W101" s="177" t="str">
        <x:f>IF(A101="","",IF(OR(J101="红",J101="黑",J101="走水",J101="半红",J101="半黑"),1,0))</x:f>
      </x:c>
    </x:row>
    <x:row r="102">
      <x:c r="A102" s="160"/>
      <x:c r="B102" s="160"/>
      <x:c r="C102" s="160"/>
      <x:c r="D102" s="160"/>
      <x:c r="E102" s="160"/>
      <x:c r="F102" s="160"/>
      <x:c r="G102" s="161"/>
      <x:c r="H102" s="161"/>
      <x:c r="I102" s="161"/>
      <x:c r="J102" s="161"/>
      <x:c r="K102" s="161"/>
      <x:c r="L102" s="161" t="str">
        <x:f>IF(A102="","",K102-H102)</x:f>
      </x:c>
      <x:c r="M102" s="160"/>
      <x:c r="N102" s="160"/>
      <x:c r="O102" s="160"/>
      <x:c r="P102" s="160"/>
      <x:c r="Q102" s="176" t="str">
        <x:f>IF(A102="","",SUM($L$4:L102))</x:f>
      </x:c>
      <x:c r="R102" s="176" t="str">
        <x:f>IF(A102="","",MAX(0,$Q$4:Q102))</x:f>
      </x:c>
      <x:c r="S102" s="176" t="str">
        <x:f>IF(A102="","",Q102-R102)</x:f>
      </x:c>
      <x:c r="T102" s="177"/>
      <x:c r="U102" s="177" t="str">
        <x:f>IF(A102="","",IF(J102="红",1,IF(J102="半红",0.5,IF(J102="走水","",IF(J102="半黑",0,IF(J102="黑",0,""))))))</x:f>
      </x:c>
      <x:c r="V102" s="177" t="str">
        <x:f>IF(A102="","",IF(O102="逻辑正确",1,IF(O102="局部正确",0.5,IF(O102="逻辑错误",0,""))))</x:f>
      </x:c>
      <x:c r="W102" s="177" t="str">
        <x:f>IF(A102="","",IF(OR(J102="红",J102="黑",J102="走水",J102="半红",J102="半黑"),1,0))</x:f>
      </x:c>
    </x:row>
    <x:row r="103">
      <x:c r="A103" s="160"/>
      <x:c r="B103" s="160"/>
      <x:c r="C103" s="160"/>
      <x:c r="D103" s="160"/>
      <x:c r="E103" s="160"/>
      <x:c r="F103" s="160"/>
      <x:c r="G103" s="161"/>
      <x:c r="H103" s="161"/>
      <x:c r="I103" s="161"/>
      <x:c r="J103" s="161"/>
      <x:c r="K103" s="161"/>
      <x:c r="L103" s="161" t="str">
        <x:f>IF(A103="","",K103-H103)</x:f>
      </x:c>
      <x:c r="M103" s="160"/>
      <x:c r="N103" s="160"/>
      <x:c r="O103" s="160"/>
      <x:c r="P103" s="160"/>
      <x:c r="Q103" s="176" t="str">
        <x:f>IF(A103="","",SUM($L$4:L103))</x:f>
      </x:c>
      <x:c r="R103" s="176" t="str">
        <x:f>IF(A103="","",MAX(0,$Q$4:Q103))</x:f>
      </x:c>
      <x:c r="S103" s="176" t="str">
        <x:f>IF(A103="","",Q103-R103)</x:f>
      </x:c>
      <x:c r="T103" s="177"/>
      <x:c r="U103" s="177" t="str">
        <x:f>IF(A103="","",IF(J103="红",1,IF(J103="半红",0.5,IF(J103="走水","",IF(J103="半黑",0,IF(J103="黑",0,""))))))</x:f>
      </x:c>
      <x:c r="V103" s="177" t="str">
        <x:f>IF(A103="","",IF(O103="逻辑正确",1,IF(O103="局部正确",0.5,IF(O103="逻辑错误",0,""))))</x:f>
      </x:c>
      <x:c r="W103" s="177" t="str">
        <x:f>IF(A103="","",IF(OR(J103="红",J103="黑",J103="走水",J103="半红",J103="半黑"),1,0))</x:f>
      </x:c>
    </x:row>
    <x:row r="104">
      <x:c r="A104" s="160"/>
      <x:c r="B104" s="160"/>
      <x:c r="C104" s="160"/>
      <x:c r="D104" s="160"/>
      <x:c r="E104" s="160"/>
      <x:c r="F104" s="160"/>
      <x:c r="G104" s="161"/>
      <x:c r="H104" s="161"/>
      <x:c r="I104" s="161"/>
      <x:c r="J104" s="161"/>
      <x:c r="K104" s="161"/>
      <x:c r="L104" s="161" t="str">
        <x:f>IF(A104="","",K104-H104)</x:f>
      </x:c>
      <x:c r="M104" s="160"/>
      <x:c r="N104" s="160"/>
      <x:c r="O104" s="160"/>
      <x:c r="P104" s="160"/>
      <x:c r="Q104" s="176" t="str">
        <x:f>IF(A104="","",SUM($L$4:L104))</x:f>
      </x:c>
      <x:c r="R104" s="176" t="str">
        <x:f>IF(A104="","",MAX(0,$Q$4:Q104))</x:f>
      </x:c>
      <x:c r="S104" s="176" t="str">
        <x:f>IF(A104="","",Q104-R104)</x:f>
      </x:c>
      <x:c r="T104" s="177"/>
      <x:c r="U104" s="177" t="str">
        <x:f>IF(A104="","",IF(J104="红",1,IF(J104="半红",0.5,IF(J104="走水","",IF(J104="半黑",0,IF(J104="黑",0,""))))))</x:f>
      </x:c>
      <x:c r="V104" s="177" t="str">
        <x:f>IF(A104="","",IF(O104="逻辑正确",1,IF(O104="局部正确",0.5,IF(O104="逻辑错误",0,""))))</x:f>
      </x:c>
      <x:c r="W104" s="177" t="str">
        <x:f>IF(A104="","",IF(OR(J104="红",J104="黑",J104="走水",J104="半红",J104="半黑"),1,0))</x:f>
      </x:c>
    </x:row>
    <x:row r="105">
      <x:c r="A105" s="160"/>
      <x:c r="B105" s="160"/>
      <x:c r="C105" s="160"/>
      <x:c r="D105" s="160"/>
      <x:c r="E105" s="160"/>
      <x:c r="F105" s="160"/>
      <x:c r="G105" s="161"/>
      <x:c r="H105" s="161"/>
      <x:c r="I105" s="161"/>
      <x:c r="J105" s="161"/>
      <x:c r="K105" s="161"/>
      <x:c r="L105" s="161" t="str">
        <x:f>IF(A105="","",K105-H105)</x:f>
      </x:c>
      <x:c r="M105" s="160"/>
      <x:c r="N105" s="160"/>
      <x:c r="O105" s="160"/>
      <x:c r="P105" s="160"/>
      <x:c r="Q105" s="176" t="str">
        <x:f>IF(A105="","",SUM($L$4:L105))</x:f>
      </x:c>
      <x:c r="R105" s="176" t="str">
        <x:f>IF(A105="","",MAX(0,$Q$4:Q105))</x:f>
      </x:c>
      <x:c r="S105" s="176" t="str">
        <x:f>IF(A105="","",Q105-R105)</x:f>
      </x:c>
      <x:c r="T105" s="177"/>
      <x:c r="U105" s="177" t="str">
        <x:f>IF(A105="","",IF(J105="红",1,IF(J105="半红",0.5,IF(J105="走水","",IF(J105="半黑",0,IF(J105="黑",0,""))))))</x:f>
      </x:c>
      <x:c r="V105" s="177" t="str">
        <x:f>IF(A105="","",IF(O105="逻辑正确",1,IF(O105="局部正确",0.5,IF(O105="逻辑错误",0,""))))</x:f>
      </x:c>
      <x:c r="W105" s="177" t="str">
        <x:f>IF(A105="","",IF(OR(J105="红",J105="黑",J105="走水",J105="半红",J105="半黑"),1,0))</x:f>
      </x:c>
    </x:row>
    <x:row r="106">
      <x:c r="A106" s="160"/>
      <x:c r="B106" s="160"/>
      <x:c r="C106" s="160"/>
      <x:c r="D106" s="160"/>
      <x:c r="E106" s="160"/>
      <x:c r="F106" s="160"/>
      <x:c r="G106" s="161"/>
      <x:c r="H106" s="161"/>
      <x:c r="I106" s="161"/>
      <x:c r="J106" s="161"/>
      <x:c r="K106" s="161"/>
      <x:c r="L106" s="161" t="str">
        <x:f>IF(A106="","",K106-H106)</x:f>
      </x:c>
      <x:c r="M106" s="160"/>
      <x:c r="N106" s="160"/>
      <x:c r="O106" s="160"/>
      <x:c r="P106" s="160"/>
      <x:c r="Q106" s="176" t="str">
        <x:f>IF(A106="","",SUM($L$4:L106))</x:f>
      </x:c>
      <x:c r="R106" s="176" t="str">
        <x:f>IF(A106="","",MAX(0,$Q$4:Q106))</x:f>
      </x:c>
      <x:c r="S106" s="176" t="str">
        <x:f>IF(A106="","",Q106-R106)</x:f>
      </x:c>
      <x:c r="T106" s="177"/>
      <x:c r="U106" s="177" t="str">
        <x:f>IF(A106="","",IF(J106="红",1,IF(J106="半红",0.5,IF(J106="走水","",IF(J106="半黑",0,IF(J106="黑",0,""))))))</x:f>
      </x:c>
      <x:c r="V106" s="177" t="str">
        <x:f>IF(A106="","",IF(O106="逻辑正确",1,IF(O106="局部正确",0.5,IF(O106="逻辑错误",0,""))))</x:f>
      </x:c>
      <x:c r="W106" s="177" t="str">
        <x:f>IF(A106="","",IF(OR(J106="红",J106="黑",J106="走水",J106="半红",J106="半黑"),1,0))</x:f>
      </x:c>
    </x:row>
    <x:row r="107">
      <x:c r="A107" s="160"/>
      <x:c r="B107" s="160"/>
      <x:c r="C107" s="160"/>
      <x:c r="D107" s="160"/>
      <x:c r="E107" s="160"/>
      <x:c r="F107" s="160"/>
      <x:c r="G107" s="161"/>
      <x:c r="H107" s="161"/>
      <x:c r="I107" s="161"/>
      <x:c r="J107" s="161"/>
      <x:c r="K107" s="161"/>
      <x:c r="L107" s="161" t="str">
        <x:f>IF(A107="","",K107-H107)</x:f>
      </x:c>
      <x:c r="M107" s="160"/>
      <x:c r="N107" s="160"/>
      <x:c r="O107" s="160"/>
      <x:c r="P107" s="160"/>
      <x:c r="Q107" s="176" t="str">
        <x:f>IF(A107="","",SUM($L$4:L107))</x:f>
      </x:c>
      <x:c r="R107" s="176" t="str">
        <x:f>IF(A107="","",MAX(0,$Q$4:Q107))</x:f>
      </x:c>
      <x:c r="S107" s="176" t="str">
        <x:f>IF(A107="","",Q107-R107)</x:f>
      </x:c>
      <x:c r="T107" s="177"/>
      <x:c r="U107" s="177" t="str">
        <x:f>IF(A107="","",IF(J107="红",1,IF(J107="半红",0.5,IF(J107="走水","",IF(J107="半黑",0,IF(J107="黑",0,""))))))</x:f>
      </x:c>
      <x:c r="V107" s="177" t="str">
        <x:f>IF(A107="","",IF(O107="逻辑正确",1,IF(O107="局部正确",0.5,IF(O107="逻辑错误",0,""))))</x:f>
      </x:c>
      <x:c r="W107" s="177" t="str">
        <x:f>IF(A107="","",IF(OR(J107="红",J107="黑",J107="走水",J107="半红",J107="半黑"),1,0))</x:f>
      </x:c>
    </x:row>
    <x:row r="108">
      <x:c r="A108" s="160"/>
      <x:c r="B108" s="160"/>
      <x:c r="C108" s="160"/>
      <x:c r="D108" s="160"/>
      <x:c r="E108" s="160"/>
      <x:c r="F108" s="160"/>
      <x:c r="G108" s="161"/>
      <x:c r="H108" s="161"/>
      <x:c r="I108" s="161"/>
      <x:c r="J108" s="161"/>
      <x:c r="K108" s="161"/>
      <x:c r="L108" s="161" t="str">
        <x:f>IF(A108="","",K108-H108)</x:f>
      </x:c>
      <x:c r="M108" s="160"/>
      <x:c r="N108" s="160"/>
      <x:c r="O108" s="160"/>
      <x:c r="P108" s="160"/>
      <x:c r="Q108" s="176" t="str">
        <x:f>IF(A108="","",SUM($L$4:L108))</x:f>
      </x:c>
      <x:c r="R108" s="176" t="str">
        <x:f>IF(A108="","",MAX(0,$Q$4:Q108))</x:f>
      </x:c>
      <x:c r="S108" s="176" t="str">
        <x:f>IF(A108="","",Q108-R108)</x:f>
      </x:c>
      <x:c r="T108" s="177"/>
      <x:c r="U108" s="177" t="str">
        <x:f>IF(A108="","",IF(J108="红",1,IF(J108="半红",0.5,IF(J108="走水","",IF(J108="半黑",0,IF(J108="黑",0,""))))))</x:f>
      </x:c>
      <x:c r="V108" s="177" t="str">
        <x:f>IF(A108="","",IF(O108="逻辑正确",1,IF(O108="局部正确",0.5,IF(O108="逻辑错误",0,""))))</x:f>
      </x:c>
      <x:c r="W108" s="177" t="str">
        <x:f>IF(A108="","",IF(OR(J108="红",J108="黑",J108="走水",J108="半红",J108="半黑"),1,0))</x:f>
      </x:c>
    </x:row>
    <x:row r="109">
      <x:c r="A109" s="160"/>
      <x:c r="B109" s="160"/>
      <x:c r="C109" s="160"/>
      <x:c r="D109" s="160"/>
      <x:c r="E109" s="160"/>
      <x:c r="F109" s="160"/>
      <x:c r="G109" s="161"/>
      <x:c r="H109" s="161"/>
      <x:c r="I109" s="161"/>
      <x:c r="J109" s="161"/>
      <x:c r="K109" s="161"/>
      <x:c r="L109" s="161" t="str">
        <x:f>IF(A109="","",K109-H109)</x:f>
      </x:c>
      <x:c r="M109" s="160"/>
      <x:c r="N109" s="160"/>
      <x:c r="O109" s="160"/>
      <x:c r="P109" s="160"/>
      <x:c r="Q109" s="176" t="str">
        <x:f>IF(A109="","",SUM($L$4:L109))</x:f>
      </x:c>
      <x:c r="R109" s="176" t="str">
        <x:f>IF(A109="","",MAX(0,$Q$4:Q109))</x:f>
      </x:c>
      <x:c r="S109" s="176" t="str">
        <x:f>IF(A109="","",Q109-R109)</x:f>
      </x:c>
      <x:c r="T109" s="177"/>
      <x:c r="U109" s="177" t="str">
        <x:f>IF(A109="","",IF(J109="红",1,IF(J109="半红",0.5,IF(J109="走水","",IF(J109="半黑",0,IF(J109="黑",0,""))))))</x:f>
      </x:c>
      <x:c r="V109" s="177" t="str">
        <x:f>IF(A109="","",IF(O109="逻辑正确",1,IF(O109="局部正确",0.5,IF(O109="逻辑错误",0,""))))</x:f>
      </x:c>
      <x:c r="W109" s="177" t="str">
        <x:f>IF(A109="","",IF(OR(J109="红",J109="黑",J109="走水",J109="半红",J109="半黑"),1,0))</x:f>
      </x:c>
    </x:row>
    <x:row r="110">
      <x:c r="A110" s="160"/>
      <x:c r="B110" s="160"/>
      <x:c r="C110" s="160"/>
      <x:c r="D110" s="160"/>
      <x:c r="E110" s="160"/>
      <x:c r="F110" s="160"/>
      <x:c r="G110" s="161"/>
      <x:c r="H110" s="161"/>
      <x:c r="I110" s="161"/>
      <x:c r="J110" s="161"/>
      <x:c r="K110" s="161"/>
      <x:c r="L110" s="161" t="str">
        <x:f>IF(A110="","",K110-H110)</x:f>
      </x:c>
      <x:c r="M110" s="160"/>
      <x:c r="N110" s="160"/>
      <x:c r="O110" s="160"/>
      <x:c r="P110" s="160"/>
      <x:c r="Q110" s="176" t="str">
        <x:f>IF(A110="","",SUM($L$4:L110))</x:f>
      </x:c>
      <x:c r="R110" s="176" t="str">
        <x:f>IF(A110="","",MAX(0,$Q$4:Q110))</x:f>
      </x:c>
      <x:c r="S110" s="176" t="str">
        <x:f>IF(A110="","",Q110-R110)</x:f>
      </x:c>
      <x:c r="T110" s="177"/>
      <x:c r="U110" s="177" t="str">
        <x:f>IF(A110="","",IF(J110="红",1,IF(J110="半红",0.5,IF(J110="走水","",IF(J110="半黑",0,IF(J110="黑",0,""))))))</x:f>
      </x:c>
      <x:c r="V110" s="177" t="str">
        <x:f>IF(A110="","",IF(O110="逻辑正确",1,IF(O110="局部正确",0.5,IF(O110="逻辑错误",0,""))))</x:f>
      </x:c>
      <x:c r="W110" s="177" t="str">
        <x:f>IF(A110="","",IF(OR(J110="红",J110="黑",J110="走水",J110="半红",J110="半黑"),1,0))</x:f>
      </x:c>
    </x:row>
    <x:row r="111">
      <x:c r="A111" s="160"/>
      <x:c r="B111" s="160"/>
      <x:c r="C111" s="160"/>
      <x:c r="D111" s="160"/>
      <x:c r="E111" s="160"/>
      <x:c r="F111" s="160"/>
      <x:c r="G111" s="161"/>
      <x:c r="H111" s="161"/>
      <x:c r="I111" s="161"/>
      <x:c r="J111" s="161"/>
      <x:c r="K111" s="161"/>
      <x:c r="L111" s="161" t="str">
        <x:f>IF(A111="","",K111-H111)</x:f>
      </x:c>
      <x:c r="M111" s="160"/>
      <x:c r="N111" s="160"/>
      <x:c r="O111" s="160"/>
      <x:c r="P111" s="160"/>
      <x:c r="Q111" s="176" t="str">
        <x:f>IF(A111="","",SUM($L$4:L111))</x:f>
      </x:c>
      <x:c r="R111" s="176" t="str">
        <x:f>IF(A111="","",MAX(0,$Q$4:Q111))</x:f>
      </x:c>
      <x:c r="S111" s="176" t="str">
        <x:f>IF(A111="","",Q111-R111)</x:f>
      </x:c>
      <x:c r="T111" s="177"/>
      <x:c r="U111" s="177" t="str">
        <x:f>IF(A111="","",IF(J111="红",1,IF(J111="半红",0.5,IF(J111="走水","",IF(J111="半黑",0,IF(J111="黑",0,""))))))</x:f>
      </x:c>
      <x:c r="V111" s="177" t="str">
        <x:f>IF(A111="","",IF(O111="逻辑正确",1,IF(O111="局部正确",0.5,IF(O111="逻辑错误",0,""))))</x:f>
      </x:c>
      <x:c r="W111" s="177" t="str">
        <x:f>IF(A111="","",IF(OR(J111="红",J111="黑",J111="走水",J111="半红",J111="半黑"),1,0))</x:f>
      </x:c>
    </x:row>
    <x:row r="112">
      <x:c r="A112" s="160"/>
      <x:c r="B112" s="160"/>
      <x:c r="C112" s="160"/>
      <x:c r="D112" s="160"/>
      <x:c r="E112" s="160"/>
      <x:c r="F112" s="160"/>
      <x:c r="G112" s="161"/>
      <x:c r="H112" s="161"/>
      <x:c r="I112" s="161"/>
      <x:c r="J112" s="161"/>
      <x:c r="K112" s="161"/>
      <x:c r="L112" s="161" t="str">
        <x:f>IF(A112="","",K112-H112)</x:f>
      </x:c>
      <x:c r="M112" s="160"/>
      <x:c r="N112" s="160"/>
      <x:c r="O112" s="160"/>
      <x:c r="P112" s="160"/>
      <x:c r="Q112" s="176" t="str">
        <x:f>IF(A112="","",SUM($L$4:L112))</x:f>
      </x:c>
      <x:c r="R112" s="176" t="str">
        <x:f>IF(A112="","",MAX(0,$Q$4:Q112))</x:f>
      </x:c>
      <x:c r="S112" s="176" t="str">
        <x:f>IF(A112="","",Q112-R112)</x:f>
      </x:c>
      <x:c r="T112" s="177"/>
      <x:c r="U112" s="177" t="str">
        <x:f>IF(A112="","",IF(J112="红",1,IF(J112="半红",0.5,IF(J112="走水","",IF(J112="半黑",0,IF(J112="黑",0,""))))))</x:f>
      </x:c>
      <x:c r="V112" s="177" t="str">
        <x:f>IF(A112="","",IF(O112="逻辑正确",1,IF(O112="局部正确",0.5,IF(O112="逻辑错误",0,""))))</x:f>
      </x:c>
      <x:c r="W112" s="177" t="str">
        <x:f>IF(A112="","",IF(OR(J112="红",J112="黑",J112="走水",J112="半红",J112="半黑"),1,0))</x:f>
      </x:c>
    </x:row>
    <x:row r="113">
      <x:c r="A113" s="160"/>
      <x:c r="B113" s="160"/>
      <x:c r="C113" s="160"/>
      <x:c r="D113" s="160"/>
      <x:c r="E113" s="160"/>
      <x:c r="F113" s="160"/>
      <x:c r="G113" s="161"/>
      <x:c r="H113" s="161"/>
      <x:c r="I113" s="161"/>
      <x:c r="J113" s="161"/>
      <x:c r="K113" s="161"/>
      <x:c r="L113" s="161" t="str">
        <x:f>IF(A113="","",K113-H113)</x:f>
      </x:c>
      <x:c r="M113" s="160"/>
      <x:c r="N113" s="160"/>
      <x:c r="O113" s="160"/>
      <x:c r="P113" s="160"/>
      <x:c r="Q113" s="176" t="str">
        <x:f>IF(A113="","",SUM($L$4:L113))</x:f>
      </x:c>
      <x:c r="R113" s="176" t="str">
        <x:f>IF(A113="","",MAX(0,$Q$4:Q113))</x:f>
      </x:c>
      <x:c r="S113" s="176" t="str">
        <x:f>IF(A113="","",Q113-R113)</x:f>
      </x:c>
      <x:c r="T113" s="177"/>
      <x:c r="U113" s="177" t="str">
        <x:f>IF(A113="","",IF(J113="红",1,IF(J113="半红",0.5,IF(J113="走水","",IF(J113="半黑",0,IF(J113="黑",0,""))))))</x:f>
      </x:c>
      <x:c r="V113" s="177" t="str">
        <x:f>IF(A113="","",IF(O113="逻辑正确",1,IF(O113="局部正确",0.5,IF(O113="逻辑错误",0,""))))</x:f>
      </x:c>
      <x:c r="W113" s="177" t="str">
        <x:f>IF(A113="","",IF(OR(J113="红",J113="黑",J113="走水",J113="半红",J113="半黑"),1,0))</x:f>
      </x:c>
    </x:row>
    <x:row r="114">
      <x:c r="A114" s="160"/>
      <x:c r="B114" s="160"/>
      <x:c r="C114" s="160"/>
      <x:c r="D114" s="160"/>
      <x:c r="E114" s="160"/>
      <x:c r="F114" s="160"/>
      <x:c r="G114" s="161"/>
      <x:c r="H114" s="161"/>
      <x:c r="I114" s="161"/>
      <x:c r="J114" s="161"/>
      <x:c r="K114" s="161"/>
      <x:c r="L114" s="161" t="str">
        <x:f>IF(A114="","",K114-H114)</x:f>
      </x:c>
      <x:c r="M114" s="160"/>
      <x:c r="N114" s="160"/>
      <x:c r="O114" s="160"/>
      <x:c r="P114" s="160"/>
      <x:c r="Q114" s="176" t="str">
        <x:f>IF(A114="","",SUM($L$4:L114))</x:f>
      </x:c>
      <x:c r="R114" s="176" t="str">
        <x:f>IF(A114="","",MAX(0,$Q$4:Q114))</x:f>
      </x:c>
      <x:c r="S114" s="176" t="str">
        <x:f>IF(A114="","",Q114-R114)</x:f>
      </x:c>
      <x:c r="T114" s="177"/>
      <x:c r="U114" s="177" t="str">
        <x:f>IF(A114="","",IF(J114="红",1,IF(J114="半红",0.5,IF(J114="走水","",IF(J114="半黑",0,IF(J114="黑",0,""))))))</x:f>
      </x:c>
      <x:c r="V114" s="177" t="str">
        <x:f>IF(A114="","",IF(O114="逻辑正确",1,IF(O114="局部正确",0.5,IF(O114="逻辑错误",0,""))))</x:f>
      </x:c>
      <x:c r="W114" s="177" t="str">
        <x:f>IF(A114="","",IF(OR(J114="红",J114="黑",J114="走水",J114="半红",J114="半黑"),1,0))</x:f>
      </x:c>
    </x:row>
    <x:row r="115">
      <x:c r="A115" s="160"/>
      <x:c r="B115" s="160"/>
      <x:c r="C115" s="160"/>
      <x:c r="D115" s="160"/>
      <x:c r="E115" s="160"/>
      <x:c r="F115" s="160"/>
      <x:c r="G115" s="161"/>
      <x:c r="H115" s="161"/>
      <x:c r="I115" s="161"/>
      <x:c r="J115" s="161"/>
      <x:c r="K115" s="161"/>
      <x:c r="L115" s="161" t="str">
        <x:f>IF(A115="","",K115-H115)</x:f>
      </x:c>
      <x:c r="M115" s="160"/>
      <x:c r="N115" s="160"/>
      <x:c r="O115" s="160"/>
      <x:c r="P115" s="160"/>
      <x:c r="Q115" s="176" t="str">
        <x:f>IF(A115="","",SUM($L$4:L115))</x:f>
      </x:c>
      <x:c r="R115" s="176" t="str">
        <x:f>IF(A115="","",MAX(0,$Q$4:Q115))</x:f>
      </x:c>
      <x:c r="S115" s="176" t="str">
        <x:f>IF(A115="","",Q115-R115)</x:f>
      </x:c>
      <x:c r="T115" s="177"/>
      <x:c r="U115" s="177" t="str">
        <x:f>IF(A115="","",IF(J115="红",1,IF(J115="半红",0.5,IF(J115="走水","",IF(J115="半黑",0,IF(J115="黑",0,""))))))</x:f>
      </x:c>
      <x:c r="V115" s="177" t="str">
        <x:f>IF(A115="","",IF(O115="逻辑正确",1,IF(O115="局部正确",0.5,IF(O115="逻辑错误",0,""))))</x:f>
      </x:c>
      <x:c r="W115" s="177" t="str">
        <x:f>IF(A115="","",IF(OR(J115="红",J115="黑",J115="走水",J115="半红",J115="半黑"),1,0))</x:f>
      </x:c>
    </x:row>
    <x:row r="116">
      <x:c r="A116" s="160"/>
      <x:c r="B116" s="160"/>
      <x:c r="C116" s="160"/>
      <x:c r="D116" s="160"/>
      <x:c r="E116" s="160"/>
      <x:c r="F116" s="160"/>
      <x:c r="G116" s="161"/>
      <x:c r="H116" s="161"/>
      <x:c r="I116" s="161"/>
      <x:c r="J116" s="161"/>
      <x:c r="K116" s="161"/>
      <x:c r="L116" s="161" t="str">
        <x:f>IF(A116="","",K116-H116)</x:f>
      </x:c>
      <x:c r="M116" s="160"/>
      <x:c r="N116" s="160"/>
      <x:c r="O116" s="160"/>
      <x:c r="P116" s="160"/>
      <x:c r="Q116" s="176" t="str">
        <x:f>IF(A116="","",SUM($L$4:L116))</x:f>
      </x:c>
      <x:c r="R116" s="176" t="str">
        <x:f>IF(A116="","",MAX(0,$Q$4:Q116))</x:f>
      </x:c>
      <x:c r="S116" s="176" t="str">
        <x:f>IF(A116="","",Q116-R116)</x:f>
      </x:c>
      <x:c r="T116" s="177"/>
      <x:c r="U116" s="177" t="str">
        <x:f>IF(A116="","",IF(J116="红",1,IF(J116="半红",0.5,IF(J116="走水","",IF(J116="半黑",0,IF(J116="黑",0,""))))))</x:f>
      </x:c>
      <x:c r="V116" s="177" t="str">
        <x:f>IF(A116="","",IF(O116="逻辑正确",1,IF(O116="局部正确",0.5,IF(O116="逻辑错误",0,""))))</x:f>
      </x:c>
      <x:c r="W116" s="177" t="str">
        <x:f>IF(A116="","",IF(OR(J116="红",J116="黑",J116="走水",J116="半红",J116="半黑"),1,0))</x:f>
      </x:c>
    </x:row>
    <x:row r="117">
      <x:c r="A117" s="160"/>
      <x:c r="B117" s="160"/>
      <x:c r="C117" s="160"/>
      <x:c r="D117" s="160"/>
      <x:c r="E117" s="160"/>
      <x:c r="F117" s="160"/>
      <x:c r="G117" s="161"/>
      <x:c r="H117" s="161"/>
      <x:c r="I117" s="161"/>
      <x:c r="J117" s="161"/>
      <x:c r="K117" s="161"/>
      <x:c r="L117" s="161" t="str">
        <x:f>IF(A117="","",K117-H117)</x:f>
      </x:c>
      <x:c r="M117" s="160"/>
      <x:c r="N117" s="160"/>
      <x:c r="O117" s="160"/>
      <x:c r="P117" s="160"/>
      <x:c r="Q117" s="176" t="str">
        <x:f>IF(A117="","",SUM($L$4:L117))</x:f>
      </x:c>
      <x:c r="R117" s="176" t="str">
        <x:f>IF(A117="","",MAX(0,$Q$4:Q117))</x:f>
      </x:c>
      <x:c r="S117" s="176" t="str">
        <x:f>IF(A117="","",Q117-R117)</x:f>
      </x:c>
      <x:c r="T117" s="177"/>
      <x:c r="U117" s="177" t="str">
        <x:f>IF(A117="","",IF(J117="红",1,IF(J117="半红",0.5,IF(J117="走水","",IF(J117="半黑",0,IF(J117="黑",0,""))))))</x:f>
      </x:c>
      <x:c r="V117" s="177" t="str">
        <x:f>IF(A117="","",IF(O117="逻辑正确",1,IF(O117="局部正确",0.5,IF(O117="逻辑错误",0,""))))</x:f>
      </x:c>
      <x:c r="W117" s="177" t="str">
        <x:f>IF(A117="","",IF(OR(J117="红",J117="黑",J117="走水",J117="半红",J117="半黑"),1,0))</x:f>
      </x:c>
    </x:row>
    <x:row r="118">
      <x:c r="A118" s="160"/>
      <x:c r="B118" s="160"/>
      <x:c r="C118" s="160"/>
      <x:c r="D118" s="160"/>
      <x:c r="E118" s="160"/>
      <x:c r="F118" s="160"/>
      <x:c r="G118" s="161"/>
      <x:c r="H118" s="161"/>
      <x:c r="I118" s="161"/>
      <x:c r="J118" s="161"/>
      <x:c r="K118" s="161"/>
      <x:c r="L118" s="161" t="str">
        <x:f>IF(A118="","",K118-H118)</x:f>
      </x:c>
      <x:c r="M118" s="160"/>
      <x:c r="N118" s="160"/>
      <x:c r="O118" s="160"/>
      <x:c r="P118" s="160"/>
      <x:c r="Q118" s="176" t="str">
        <x:f>IF(A118="","",SUM($L$4:L118))</x:f>
      </x:c>
      <x:c r="R118" s="176" t="str">
        <x:f>IF(A118="","",MAX(0,$Q$4:Q118))</x:f>
      </x:c>
      <x:c r="S118" s="176" t="str">
        <x:f>IF(A118="","",Q118-R118)</x:f>
      </x:c>
      <x:c r="T118" s="177"/>
      <x:c r="U118" s="177" t="str">
        <x:f>IF(A118="","",IF(J118="红",1,IF(J118="半红",0.5,IF(J118="走水","",IF(J118="半黑",0,IF(J118="黑",0,""))))))</x:f>
      </x:c>
      <x:c r="V118" s="177" t="str">
        <x:f>IF(A118="","",IF(O118="逻辑正确",1,IF(O118="局部正确",0.5,IF(O118="逻辑错误",0,""))))</x:f>
      </x:c>
      <x:c r="W118" s="177" t="str">
        <x:f>IF(A118="","",IF(OR(J118="红",J118="黑",J118="走水",J118="半红",J118="半黑"),1,0))</x:f>
      </x:c>
    </x:row>
    <x:row r="119">
      <x:c r="A119" s="160"/>
      <x:c r="B119" s="160"/>
      <x:c r="C119" s="160"/>
      <x:c r="D119" s="160"/>
      <x:c r="E119" s="160"/>
      <x:c r="F119" s="160"/>
      <x:c r="G119" s="161"/>
      <x:c r="H119" s="161"/>
      <x:c r="I119" s="161"/>
      <x:c r="J119" s="161"/>
      <x:c r="K119" s="161"/>
      <x:c r="L119" s="161" t="str">
        <x:f>IF(A119="","",K119-H119)</x:f>
      </x:c>
      <x:c r="M119" s="160"/>
      <x:c r="N119" s="160"/>
      <x:c r="O119" s="160"/>
      <x:c r="P119" s="160"/>
      <x:c r="Q119" s="176" t="str">
        <x:f>IF(A119="","",SUM($L$4:L119))</x:f>
      </x:c>
      <x:c r="R119" s="176" t="str">
        <x:f>IF(A119="","",MAX(0,$Q$4:Q119))</x:f>
      </x:c>
      <x:c r="S119" s="176" t="str">
        <x:f>IF(A119="","",Q119-R119)</x:f>
      </x:c>
      <x:c r="T119" s="177"/>
      <x:c r="U119" s="177" t="str">
        <x:f>IF(A119="","",IF(J119="红",1,IF(J119="半红",0.5,IF(J119="走水","",IF(J119="半黑",0,IF(J119="黑",0,""))))))</x:f>
      </x:c>
      <x:c r="V119" s="177" t="str">
        <x:f>IF(A119="","",IF(O119="逻辑正确",1,IF(O119="局部正确",0.5,IF(O119="逻辑错误",0,""))))</x:f>
      </x:c>
      <x:c r="W119" s="177" t="str">
        <x:f>IF(A119="","",IF(OR(J119="红",J119="黑",J119="走水",J119="半红",J119="半黑"),1,0))</x:f>
      </x:c>
    </x:row>
    <x:row r="120">
      <x:c r="A120" s="160"/>
      <x:c r="B120" s="160"/>
      <x:c r="C120" s="160"/>
      <x:c r="D120" s="160"/>
      <x:c r="E120" s="160"/>
      <x:c r="F120" s="160"/>
      <x:c r="G120" s="161"/>
      <x:c r="H120" s="161"/>
      <x:c r="I120" s="161"/>
      <x:c r="J120" s="161"/>
      <x:c r="K120" s="161"/>
      <x:c r="L120" s="161" t="str">
        <x:f>IF(A120="","",K120-H120)</x:f>
      </x:c>
      <x:c r="M120" s="160"/>
      <x:c r="N120" s="160"/>
      <x:c r="O120" s="160"/>
      <x:c r="P120" s="160"/>
      <x:c r="Q120" s="176" t="str">
        <x:f>IF(A120="","",SUM($L$4:L120))</x:f>
      </x:c>
      <x:c r="R120" s="176" t="str">
        <x:f>IF(A120="","",MAX(0,$Q$4:Q120))</x:f>
      </x:c>
      <x:c r="S120" s="176" t="str">
        <x:f>IF(A120="","",Q120-R120)</x:f>
      </x:c>
      <x:c r="T120" s="177"/>
      <x:c r="U120" s="177" t="str">
        <x:f>IF(A120="","",IF(J120="红",1,IF(J120="半红",0.5,IF(J120="走水","",IF(J120="半黑",0,IF(J120="黑",0,""))))))</x:f>
      </x:c>
      <x:c r="V120" s="177" t="str">
        <x:f>IF(A120="","",IF(O120="逻辑正确",1,IF(O120="局部正确",0.5,IF(O120="逻辑错误",0,""))))</x:f>
      </x:c>
      <x:c r="W120" s="177" t="str">
        <x:f>IF(A120="","",IF(OR(J120="红",J120="黑",J120="走水",J120="半红",J120="半黑"),1,0))</x:f>
      </x:c>
    </x:row>
    <x:row r="121">
      <x:c r="A121" s="160"/>
      <x:c r="B121" s="160"/>
      <x:c r="C121" s="160"/>
      <x:c r="D121" s="160"/>
      <x:c r="E121" s="160"/>
      <x:c r="F121" s="160"/>
      <x:c r="G121" s="161"/>
      <x:c r="H121" s="161"/>
      <x:c r="I121" s="161"/>
      <x:c r="J121" s="161"/>
      <x:c r="K121" s="161"/>
      <x:c r="L121" s="161" t="str">
        <x:f>IF(A121="","",K121-H121)</x:f>
      </x:c>
      <x:c r="M121" s="160"/>
      <x:c r="N121" s="160"/>
      <x:c r="O121" s="160"/>
      <x:c r="P121" s="160"/>
      <x:c r="Q121" s="176" t="str">
        <x:f>IF(A121="","",SUM($L$4:L121))</x:f>
      </x:c>
      <x:c r="R121" s="176" t="str">
        <x:f>IF(A121="","",MAX(0,$Q$4:Q121))</x:f>
      </x:c>
      <x:c r="S121" s="176" t="str">
        <x:f>IF(A121="","",Q121-R121)</x:f>
      </x:c>
      <x:c r="T121" s="177"/>
      <x:c r="U121" s="177" t="str">
        <x:f>IF(A121="","",IF(J121="红",1,IF(J121="半红",0.5,IF(J121="走水","",IF(J121="半黑",0,IF(J121="黑",0,""))))))</x:f>
      </x:c>
      <x:c r="V121" s="177" t="str">
        <x:f>IF(A121="","",IF(O121="逻辑正确",1,IF(O121="局部正确",0.5,IF(O121="逻辑错误",0,""))))</x:f>
      </x:c>
      <x:c r="W121" s="177" t="str">
        <x:f>IF(A121="","",IF(OR(J121="红",J121="黑",J121="走水",J121="半红",J121="半黑"),1,0))</x:f>
      </x:c>
    </x:row>
    <x:row r="122">
      <x:c r="A122" s="160"/>
      <x:c r="B122" s="160"/>
      <x:c r="C122" s="160"/>
      <x:c r="D122" s="160"/>
      <x:c r="E122" s="160"/>
      <x:c r="F122" s="160"/>
      <x:c r="G122" s="161"/>
      <x:c r="H122" s="161"/>
      <x:c r="I122" s="161"/>
      <x:c r="J122" s="161"/>
      <x:c r="K122" s="161"/>
      <x:c r="L122" s="161" t="str">
        <x:f>IF(A122="","",K122-H122)</x:f>
      </x:c>
      <x:c r="M122" s="160"/>
      <x:c r="N122" s="160"/>
      <x:c r="O122" s="160"/>
      <x:c r="P122" s="160"/>
      <x:c r="Q122" s="176" t="str">
        <x:f>IF(A122="","",SUM($L$4:L122))</x:f>
      </x:c>
      <x:c r="R122" s="176" t="str">
        <x:f>IF(A122="","",MAX(0,$Q$4:Q122))</x:f>
      </x:c>
      <x:c r="S122" s="176" t="str">
        <x:f>IF(A122="","",Q122-R122)</x:f>
      </x:c>
      <x:c r="T122" s="177"/>
      <x:c r="U122" s="177" t="str">
        <x:f>IF(A122="","",IF(J122="红",1,IF(J122="半红",0.5,IF(J122="走水","",IF(J122="半黑",0,IF(J122="黑",0,""))))))</x:f>
      </x:c>
      <x:c r="V122" s="177" t="str">
        <x:f>IF(A122="","",IF(O122="逻辑正确",1,IF(O122="局部正确",0.5,IF(O122="逻辑错误",0,""))))</x:f>
      </x:c>
      <x:c r="W122" s="177" t="str">
        <x:f>IF(A122="","",IF(OR(J122="红",J122="黑",J122="走水",J122="半红",J122="半黑"),1,0))</x:f>
      </x:c>
    </x:row>
    <x:row r="123">
      <x:c r="A123" s="160"/>
      <x:c r="B123" s="160"/>
      <x:c r="C123" s="160"/>
      <x:c r="D123" s="160"/>
      <x:c r="E123" s="160"/>
      <x:c r="F123" s="160"/>
      <x:c r="G123" s="161"/>
      <x:c r="H123" s="161"/>
      <x:c r="I123" s="161"/>
      <x:c r="J123" s="161"/>
      <x:c r="K123" s="161"/>
      <x:c r="L123" s="161" t="str">
        <x:f>IF(A123="","",K123-H123)</x:f>
      </x:c>
      <x:c r="M123" s="160"/>
      <x:c r="N123" s="160"/>
      <x:c r="O123" s="160"/>
      <x:c r="P123" s="160"/>
      <x:c r="Q123" s="176" t="str">
        <x:f>IF(A123="","",SUM($L$4:L123))</x:f>
      </x:c>
      <x:c r="R123" s="176" t="str">
        <x:f>IF(A123="","",MAX(0,$Q$4:Q123))</x:f>
      </x:c>
      <x:c r="S123" s="176" t="str">
        <x:f>IF(A123="","",Q123-R123)</x:f>
      </x:c>
      <x:c r="T123" s="177"/>
      <x:c r="U123" s="177" t="str">
        <x:f>IF(A123="","",IF(J123="红",1,IF(J123="半红",0.5,IF(J123="走水","",IF(J123="半黑",0,IF(J123="黑",0,""))))))</x:f>
      </x:c>
      <x:c r="V123" s="177" t="str">
        <x:f>IF(A123="","",IF(O123="逻辑正确",1,IF(O123="局部正确",0.5,IF(O123="逻辑错误",0,""))))</x:f>
      </x:c>
      <x:c r="W123" s="177" t="str">
        <x:f>IF(A123="","",IF(OR(J123="红",J123="黑",J123="走水",J123="半红",J123="半黑"),1,0))</x:f>
      </x:c>
    </x:row>
    <x:row r="124">
      <x:c r="A124" s="160"/>
      <x:c r="B124" s="160"/>
      <x:c r="C124" s="160"/>
      <x:c r="D124" s="160"/>
      <x:c r="E124" s="160"/>
      <x:c r="F124" s="160"/>
      <x:c r="G124" s="161"/>
      <x:c r="H124" s="161"/>
      <x:c r="I124" s="161"/>
      <x:c r="J124" s="161"/>
      <x:c r="K124" s="161"/>
      <x:c r="L124" s="161" t="str">
        <x:f>IF(A124="","",K124-H124)</x:f>
      </x:c>
      <x:c r="M124" s="160"/>
      <x:c r="N124" s="160"/>
      <x:c r="O124" s="160"/>
      <x:c r="P124" s="160"/>
      <x:c r="Q124" s="176" t="str">
        <x:f>IF(A124="","",SUM($L$4:L124))</x:f>
      </x:c>
      <x:c r="R124" s="176" t="str">
        <x:f>IF(A124="","",MAX(0,$Q$4:Q124))</x:f>
      </x:c>
      <x:c r="S124" s="176" t="str">
        <x:f>IF(A124="","",Q124-R124)</x:f>
      </x:c>
      <x:c r="T124" s="177"/>
      <x:c r="U124" s="177" t="str">
        <x:f>IF(A124="","",IF(J124="红",1,IF(J124="半红",0.5,IF(J124="走水","",IF(J124="半黑",0,IF(J124="黑",0,""))))))</x:f>
      </x:c>
      <x:c r="V124" s="177" t="str">
        <x:f>IF(A124="","",IF(O124="逻辑正确",1,IF(O124="局部正确",0.5,IF(O124="逻辑错误",0,""))))</x:f>
      </x:c>
      <x:c r="W124" s="177" t="str">
        <x:f>IF(A124="","",IF(OR(J124="红",J124="黑",J124="走水",J124="半红",J124="半黑"),1,0))</x:f>
      </x:c>
    </x:row>
    <x:row r="125">
      <x:c r="A125" s="160"/>
      <x:c r="B125" s="160"/>
      <x:c r="C125" s="160"/>
      <x:c r="D125" s="160"/>
      <x:c r="E125" s="160"/>
      <x:c r="F125" s="160"/>
      <x:c r="G125" s="161"/>
      <x:c r="H125" s="161"/>
      <x:c r="I125" s="161"/>
      <x:c r="J125" s="161"/>
      <x:c r="K125" s="161"/>
      <x:c r="L125" s="161" t="str">
        <x:f>IF(A125="","",K125-H125)</x:f>
      </x:c>
      <x:c r="M125" s="160"/>
      <x:c r="N125" s="160"/>
      <x:c r="O125" s="160"/>
      <x:c r="P125" s="160"/>
      <x:c r="Q125" s="176" t="str">
        <x:f>IF(A125="","",SUM($L$4:L125))</x:f>
      </x:c>
      <x:c r="R125" s="176" t="str">
        <x:f>IF(A125="","",MAX(0,$Q$4:Q125))</x:f>
      </x:c>
      <x:c r="S125" s="176" t="str">
        <x:f>IF(A125="","",Q125-R125)</x:f>
      </x:c>
      <x:c r="T125" s="177"/>
      <x:c r="U125" s="177" t="str">
        <x:f>IF(A125="","",IF(J125="红",1,IF(J125="半红",0.5,IF(J125="走水","",IF(J125="半黑",0,IF(J125="黑",0,""))))))</x:f>
      </x:c>
      <x:c r="V125" s="177" t="str">
        <x:f>IF(A125="","",IF(O125="逻辑正确",1,IF(O125="局部正确",0.5,IF(O125="逻辑错误",0,""))))</x:f>
      </x:c>
      <x:c r="W125" s="177" t="str">
        <x:f>IF(A125="","",IF(OR(J125="红",J125="黑",J125="走水",J125="半红",J125="半黑"),1,0))</x:f>
      </x:c>
    </x:row>
    <x:row r="126">
      <x:c r="A126" s="160"/>
      <x:c r="B126" s="160"/>
      <x:c r="C126" s="160"/>
      <x:c r="D126" s="160"/>
      <x:c r="E126" s="160"/>
      <x:c r="F126" s="160"/>
      <x:c r="G126" s="161"/>
      <x:c r="H126" s="161"/>
      <x:c r="I126" s="161"/>
      <x:c r="J126" s="161"/>
      <x:c r="K126" s="161"/>
      <x:c r="L126" s="161" t="str">
        <x:f>IF(A126="","",K126-H126)</x:f>
      </x:c>
      <x:c r="M126" s="160"/>
      <x:c r="N126" s="160"/>
      <x:c r="O126" s="160"/>
      <x:c r="P126" s="160"/>
      <x:c r="Q126" s="176" t="str">
        <x:f>IF(A126="","",SUM($L$4:L126))</x:f>
      </x:c>
      <x:c r="R126" s="176" t="str">
        <x:f>IF(A126="","",MAX(0,$Q$4:Q126))</x:f>
      </x:c>
      <x:c r="S126" s="176" t="str">
        <x:f>IF(A126="","",Q126-R126)</x:f>
      </x:c>
      <x:c r="T126" s="177"/>
      <x:c r="U126" s="177" t="str">
        <x:f>IF(A126="","",IF(J126="红",1,IF(J126="半红",0.5,IF(J126="走水","",IF(J126="半黑",0,IF(J126="黑",0,""))))))</x:f>
      </x:c>
      <x:c r="V126" s="177" t="str">
        <x:f>IF(A126="","",IF(O126="逻辑正确",1,IF(O126="局部正确",0.5,IF(O126="逻辑错误",0,""))))</x:f>
      </x:c>
      <x:c r="W126" s="177" t="str">
        <x:f>IF(A126="","",IF(OR(J126="红",J126="黑",J126="走水",J126="半红",J126="半黑"),1,0))</x:f>
      </x:c>
    </x:row>
    <x:row r="127">
      <x:c r="A127" s="160"/>
      <x:c r="B127" s="160"/>
      <x:c r="C127" s="160"/>
      <x:c r="D127" s="160"/>
      <x:c r="E127" s="160"/>
      <x:c r="F127" s="160"/>
      <x:c r="G127" s="161"/>
      <x:c r="H127" s="161"/>
      <x:c r="I127" s="161"/>
      <x:c r="J127" s="161"/>
      <x:c r="K127" s="161"/>
      <x:c r="L127" s="161" t="str">
        <x:f>IF(A127="","",K127-H127)</x:f>
      </x:c>
      <x:c r="M127" s="160"/>
      <x:c r="N127" s="160"/>
      <x:c r="O127" s="160"/>
      <x:c r="P127" s="160"/>
      <x:c r="Q127" s="176" t="str">
        <x:f>IF(A127="","",SUM($L$4:L127))</x:f>
      </x:c>
      <x:c r="R127" s="176" t="str">
        <x:f>IF(A127="","",MAX(0,$Q$4:Q127))</x:f>
      </x:c>
      <x:c r="S127" s="176" t="str">
        <x:f>IF(A127="","",Q127-R127)</x:f>
      </x:c>
      <x:c r="T127" s="177"/>
      <x:c r="U127" s="177" t="str">
        <x:f>IF(A127="","",IF(J127="红",1,IF(J127="半红",0.5,IF(J127="走水","",IF(J127="半黑",0,IF(J127="黑",0,""))))))</x:f>
      </x:c>
      <x:c r="V127" s="177" t="str">
        <x:f>IF(A127="","",IF(O127="逻辑正确",1,IF(O127="局部正确",0.5,IF(O127="逻辑错误",0,""))))</x:f>
      </x:c>
      <x:c r="W127" s="177" t="str">
        <x:f>IF(A127="","",IF(OR(J127="红",J127="黑",J127="走水",J127="半红",J127="半黑"),1,0))</x:f>
      </x:c>
    </x:row>
    <x:row r="128">
      <x:c r="A128" s="160"/>
      <x:c r="B128" s="160"/>
      <x:c r="C128" s="160"/>
      <x:c r="D128" s="160"/>
      <x:c r="E128" s="160"/>
      <x:c r="F128" s="160"/>
      <x:c r="G128" s="161"/>
      <x:c r="H128" s="161"/>
      <x:c r="I128" s="161"/>
      <x:c r="J128" s="161"/>
      <x:c r="K128" s="161"/>
      <x:c r="L128" s="161" t="str">
        <x:f>IF(A128="","",K128-H128)</x:f>
      </x:c>
      <x:c r="M128" s="160"/>
      <x:c r="N128" s="160"/>
      <x:c r="O128" s="160"/>
      <x:c r="P128" s="160"/>
      <x:c r="Q128" s="176" t="str">
        <x:f>IF(A128="","",SUM($L$4:L128))</x:f>
      </x:c>
      <x:c r="R128" s="176" t="str">
        <x:f>IF(A128="","",MAX(0,$Q$4:Q128))</x:f>
      </x:c>
      <x:c r="S128" s="176" t="str">
        <x:f>IF(A128="","",Q128-R128)</x:f>
      </x:c>
      <x:c r="T128" s="177"/>
      <x:c r="U128" s="177" t="str">
        <x:f>IF(A128="","",IF(J128="红",1,IF(J128="半红",0.5,IF(J128="走水","",IF(J128="半黑",0,IF(J128="黑",0,""))))))</x:f>
      </x:c>
      <x:c r="V128" s="177" t="str">
        <x:f>IF(A128="","",IF(O128="逻辑正确",1,IF(O128="局部正确",0.5,IF(O128="逻辑错误",0,""))))</x:f>
      </x:c>
      <x:c r="W128" s="177" t="str">
        <x:f>IF(A128="","",IF(OR(J128="红",J128="黑",J128="走水",J128="半红",J128="半黑"),1,0))</x:f>
      </x:c>
    </x:row>
    <x:row r="129">
      <x:c r="A129" s="160"/>
      <x:c r="B129" s="160"/>
      <x:c r="C129" s="160"/>
      <x:c r="D129" s="160"/>
      <x:c r="E129" s="160"/>
      <x:c r="F129" s="160"/>
      <x:c r="G129" s="161"/>
      <x:c r="H129" s="161"/>
      <x:c r="I129" s="161"/>
      <x:c r="J129" s="161"/>
      <x:c r="K129" s="161"/>
      <x:c r="L129" s="161" t="str">
        <x:f>IF(A129="","",K129-H129)</x:f>
      </x:c>
      <x:c r="M129" s="160"/>
      <x:c r="N129" s="160"/>
      <x:c r="O129" s="160"/>
      <x:c r="P129" s="160"/>
      <x:c r="Q129" s="176" t="str">
        <x:f>IF(A129="","",SUM($L$4:L129))</x:f>
      </x:c>
      <x:c r="R129" s="176" t="str">
        <x:f>IF(A129="","",MAX(0,$Q$4:Q129))</x:f>
      </x:c>
      <x:c r="S129" s="176" t="str">
        <x:f>IF(A129="","",Q129-R129)</x:f>
      </x:c>
      <x:c r="T129" s="177"/>
      <x:c r="U129" s="177" t="str">
        <x:f>IF(A129="","",IF(J129="红",1,IF(J129="半红",0.5,IF(J129="走水","",IF(J129="半黑",0,IF(J129="黑",0,""))))))</x:f>
      </x:c>
      <x:c r="V129" s="177" t="str">
        <x:f>IF(A129="","",IF(O129="逻辑正确",1,IF(O129="局部正确",0.5,IF(O129="逻辑错误",0,""))))</x:f>
      </x:c>
      <x:c r="W129" s="177" t="str">
        <x:f>IF(A129="","",IF(OR(J129="红",J129="黑",J129="走水",J129="半红",J129="半黑"),1,0))</x:f>
      </x:c>
    </x:row>
    <x:row r="130">
      <x:c r="A130" s="160"/>
      <x:c r="B130" s="160"/>
      <x:c r="C130" s="160"/>
      <x:c r="D130" s="160"/>
      <x:c r="E130" s="160"/>
      <x:c r="F130" s="160"/>
      <x:c r="G130" s="161"/>
      <x:c r="H130" s="161"/>
      <x:c r="I130" s="161"/>
      <x:c r="J130" s="161"/>
      <x:c r="K130" s="161"/>
      <x:c r="L130" s="161" t="str">
        <x:f>IF(A130="","",K130-H130)</x:f>
      </x:c>
      <x:c r="M130" s="160"/>
      <x:c r="N130" s="160"/>
      <x:c r="O130" s="160"/>
      <x:c r="P130" s="160"/>
      <x:c r="Q130" s="176" t="str">
        <x:f>IF(A130="","",SUM($L$4:L130))</x:f>
      </x:c>
      <x:c r="R130" s="176" t="str">
        <x:f>IF(A130="","",MAX(0,$Q$4:Q130))</x:f>
      </x:c>
      <x:c r="S130" s="176" t="str">
        <x:f>IF(A130="","",Q130-R130)</x:f>
      </x:c>
      <x:c r="T130" s="177"/>
      <x:c r="U130" s="177" t="str">
        <x:f>IF(A130="","",IF(J130="红",1,IF(J130="半红",0.5,IF(J130="走水","",IF(J130="半黑",0,IF(J130="黑",0,""))))))</x:f>
      </x:c>
      <x:c r="V130" s="177" t="str">
        <x:f>IF(A130="","",IF(O130="逻辑正确",1,IF(O130="局部正确",0.5,IF(O130="逻辑错误",0,""))))</x:f>
      </x:c>
      <x:c r="W130" s="177" t="str">
        <x:f>IF(A130="","",IF(OR(J130="红",J130="黑",J130="走水",J130="半红",J130="半黑"),1,0))</x:f>
      </x:c>
    </x:row>
    <x:row r="131">
      <x:c r="A131" s="160"/>
      <x:c r="B131" s="160"/>
      <x:c r="C131" s="160"/>
      <x:c r="D131" s="160"/>
      <x:c r="E131" s="160"/>
      <x:c r="F131" s="160"/>
      <x:c r="G131" s="161"/>
      <x:c r="H131" s="161"/>
      <x:c r="I131" s="161"/>
      <x:c r="J131" s="161"/>
      <x:c r="K131" s="161"/>
      <x:c r="L131" s="161" t="str">
        <x:f>IF(A131="","",K131-H131)</x:f>
      </x:c>
      <x:c r="M131" s="160"/>
      <x:c r="N131" s="160"/>
      <x:c r="O131" s="160"/>
      <x:c r="P131" s="160"/>
      <x:c r="Q131" s="176" t="str">
        <x:f>IF(A131="","",SUM($L$4:L131))</x:f>
      </x:c>
      <x:c r="R131" s="176" t="str">
        <x:f>IF(A131="","",MAX(0,$Q$4:Q131))</x:f>
      </x:c>
      <x:c r="S131" s="176" t="str">
        <x:f>IF(A131="","",Q131-R131)</x:f>
      </x:c>
      <x:c r="T131" s="177"/>
      <x:c r="U131" s="177" t="str">
        <x:f>IF(A131="","",IF(J131="红",1,IF(J131="半红",0.5,IF(J131="走水","",IF(J131="半黑",0,IF(J131="黑",0,""))))))</x:f>
      </x:c>
      <x:c r="V131" s="177" t="str">
        <x:f>IF(A131="","",IF(O131="逻辑正确",1,IF(O131="局部正确",0.5,IF(O131="逻辑错误",0,""))))</x:f>
      </x:c>
      <x:c r="W131" s="177" t="str">
        <x:f>IF(A131="","",IF(OR(J131="红",J131="黑",J131="走水",J131="半红",J131="半黑"),1,0))</x:f>
      </x:c>
    </x:row>
    <x:row r="132">
      <x:c r="A132" s="160"/>
      <x:c r="B132" s="160"/>
      <x:c r="C132" s="160"/>
      <x:c r="D132" s="160"/>
      <x:c r="E132" s="160"/>
      <x:c r="F132" s="160"/>
      <x:c r="G132" s="161"/>
      <x:c r="H132" s="161"/>
      <x:c r="I132" s="161"/>
      <x:c r="J132" s="161"/>
      <x:c r="K132" s="161"/>
      <x:c r="L132" s="161" t="str">
        <x:f>IF(A132="","",K132-H132)</x:f>
      </x:c>
      <x:c r="M132" s="160"/>
      <x:c r="N132" s="160"/>
      <x:c r="O132" s="160"/>
      <x:c r="P132" s="160"/>
      <x:c r="Q132" s="176" t="str">
        <x:f>IF(A132="","",SUM($L$4:L132))</x:f>
      </x:c>
      <x:c r="R132" s="176" t="str">
        <x:f>IF(A132="","",MAX(0,$Q$4:Q132))</x:f>
      </x:c>
      <x:c r="S132" s="176" t="str">
        <x:f>IF(A132="","",Q132-R132)</x:f>
      </x:c>
      <x:c r="T132" s="177"/>
      <x:c r="U132" s="177" t="str">
        <x:f>IF(A132="","",IF(J132="红",1,IF(J132="半红",0.5,IF(J132="走水","",IF(J132="半黑",0,IF(J132="黑",0,""))))))</x:f>
      </x:c>
      <x:c r="V132" s="177" t="str">
        <x:f>IF(A132="","",IF(O132="逻辑正确",1,IF(O132="局部正确",0.5,IF(O132="逻辑错误",0,""))))</x:f>
      </x:c>
      <x:c r="W132" s="177" t="str">
        <x:f>IF(A132="","",IF(OR(J132="红",J132="黑",J132="走水",J132="半红",J132="半黑"),1,0))</x:f>
      </x:c>
    </x:row>
    <x:row r="133">
      <x:c r="A133" s="160"/>
      <x:c r="B133" s="160"/>
      <x:c r="C133" s="160"/>
      <x:c r="D133" s="160"/>
      <x:c r="E133" s="160"/>
      <x:c r="F133" s="160"/>
      <x:c r="G133" s="161"/>
      <x:c r="H133" s="161"/>
      <x:c r="I133" s="161"/>
      <x:c r="J133" s="161"/>
      <x:c r="K133" s="161"/>
      <x:c r="L133" s="161" t="str">
        <x:f>IF(A133="","",K133-H133)</x:f>
      </x:c>
      <x:c r="M133" s="160"/>
      <x:c r="N133" s="160"/>
      <x:c r="O133" s="160"/>
      <x:c r="P133" s="160"/>
      <x:c r="Q133" s="176" t="str">
        <x:f>IF(A133="","",SUM($L$4:L133))</x:f>
      </x:c>
      <x:c r="R133" s="176" t="str">
        <x:f>IF(A133="","",MAX(0,$Q$4:Q133))</x:f>
      </x:c>
      <x:c r="S133" s="176" t="str">
        <x:f>IF(A133="","",Q133-R133)</x:f>
      </x:c>
      <x:c r="T133" s="177"/>
      <x:c r="U133" s="177" t="str">
        <x:f>IF(A133="","",IF(J133="红",1,IF(J133="半红",0.5,IF(J133="走水","",IF(J133="半黑",0,IF(J133="黑",0,""))))))</x:f>
      </x:c>
      <x:c r="V133" s="177" t="str">
        <x:f>IF(A133="","",IF(O133="逻辑正确",1,IF(O133="局部正确",0.5,IF(O133="逻辑错误",0,""))))</x:f>
      </x:c>
      <x:c r="W133" s="177" t="str">
        <x:f>IF(A133="","",IF(OR(J133="红",J133="黑",J133="走水",J133="半红",J133="半黑"),1,0))</x:f>
      </x:c>
    </x:row>
    <x:row r="134">
      <x:c r="A134" s="160"/>
      <x:c r="B134" s="160"/>
      <x:c r="C134" s="160"/>
      <x:c r="D134" s="160"/>
      <x:c r="E134" s="160"/>
      <x:c r="F134" s="160"/>
      <x:c r="G134" s="161"/>
      <x:c r="H134" s="161"/>
      <x:c r="I134" s="161"/>
      <x:c r="J134" s="161"/>
      <x:c r="K134" s="161"/>
      <x:c r="L134" s="161" t="str">
        <x:f>IF(A134="","",K134-H134)</x:f>
      </x:c>
      <x:c r="M134" s="160"/>
      <x:c r="N134" s="160"/>
      <x:c r="O134" s="160"/>
      <x:c r="P134" s="160"/>
      <x:c r="Q134" s="176" t="str">
        <x:f>IF(A134="","",SUM($L$4:L134))</x:f>
      </x:c>
      <x:c r="R134" s="176" t="str">
        <x:f>IF(A134="","",MAX(0,$Q$4:Q134))</x:f>
      </x:c>
      <x:c r="S134" s="176" t="str">
        <x:f>IF(A134="","",Q134-R134)</x:f>
      </x:c>
      <x:c r="T134" s="177"/>
      <x:c r="U134" s="177" t="str">
        <x:f>IF(A134="","",IF(J134="红",1,IF(J134="半红",0.5,IF(J134="走水","",IF(J134="半黑",0,IF(J134="黑",0,""))))))</x:f>
      </x:c>
      <x:c r="V134" s="177" t="str">
        <x:f>IF(A134="","",IF(O134="逻辑正确",1,IF(O134="局部正确",0.5,IF(O134="逻辑错误",0,""))))</x:f>
      </x:c>
      <x:c r="W134" s="177" t="str">
        <x:f>IF(A134="","",IF(OR(J134="红",J134="黑",J134="走水",J134="半红",J134="半黑"),1,0))</x:f>
      </x:c>
    </x:row>
    <x:row r="135">
      <x:c r="A135" s="160"/>
      <x:c r="B135" s="160"/>
      <x:c r="C135" s="160"/>
      <x:c r="D135" s="160"/>
      <x:c r="E135" s="160"/>
      <x:c r="F135" s="160"/>
      <x:c r="G135" s="161"/>
      <x:c r="H135" s="161"/>
      <x:c r="I135" s="161"/>
      <x:c r="J135" s="161"/>
      <x:c r="K135" s="161"/>
      <x:c r="L135" s="161" t="str">
        <x:f>IF(A135="","",K135-H135)</x:f>
      </x:c>
      <x:c r="M135" s="160"/>
      <x:c r="N135" s="160"/>
      <x:c r="O135" s="160"/>
      <x:c r="P135" s="160"/>
      <x:c r="Q135" s="176" t="str">
        <x:f>IF(A135="","",SUM($L$4:L135))</x:f>
      </x:c>
      <x:c r="R135" s="176" t="str">
        <x:f>IF(A135="","",MAX(0,$Q$4:Q135))</x:f>
      </x:c>
      <x:c r="S135" s="176" t="str">
        <x:f>IF(A135="","",Q135-R135)</x:f>
      </x:c>
      <x:c r="T135" s="177"/>
      <x:c r="U135" s="177" t="str">
        <x:f>IF(A135="","",IF(J135="红",1,IF(J135="半红",0.5,IF(J135="走水","",IF(J135="半黑",0,IF(J135="黑",0,""))))))</x:f>
      </x:c>
      <x:c r="V135" s="177" t="str">
        <x:f>IF(A135="","",IF(O135="逻辑正确",1,IF(O135="局部正确",0.5,IF(O135="逻辑错误",0,""))))</x:f>
      </x:c>
      <x:c r="W135" s="177" t="str">
        <x:f>IF(A135="","",IF(OR(J135="红",J135="黑",J135="走水",J135="半红",J135="半黑"),1,0))</x:f>
      </x:c>
    </x:row>
    <x:row r="136">
      <x:c r="A136" s="160"/>
      <x:c r="B136" s="160"/>
      <x:c r="C136" s="160"/>
      <x:c r="D136" s="160"/>
      <x:c r="E136" s="160"/>
      <x:c r="F136" s="160"/>
      <x:c r="G136" s="161"/>
      <x:c r="H136" s="161"/>
      <x:c r="I136" s="161"/>
      <x:c r="J136" s="161"/>
      <x:c r="K136" s="161"/>
      <x:c r="L136" s="161" t="str">
        <x:f>IF(A136="","",K136-H136)</x:f>
      </x:c>
      <x:c r="M136" s="160"/>
      <x:c r="N136" s="160"/>
      <x:c r="O136" s="160"/>
      <x:c r="P136" s="160"/>
      <x:c r="Q136" s="176" t="str">
        <x:f>IF(A136="","",SUM($L$4:L136))</x:f>
      </x:c>
      <x:c r="R136" s="176" t="str">
        <x:f>IF(A136="","",MAX(0,$Q$4:Q136))</x:f>
      </x:c>
      <x:c r="S136" s="176" t="str">
        <x:f>IF(A136="","",Q136-R136)</x:f>
      </x:c>
      <x:c r="T136" s="177"/>
      <x:c r="U136" s="177" t="str">
        <x:f>IF(A136="","",IF(J136="红",1,IF(J136="半红",0.5,IF(J136="走水","",IF(J136="半黑",0,IF(J136="黑",0,""))))))</x:f>
      </x:c>
      <x:c r="V136" s="177" t="str">
        <x:f>IF(A136="","",IF(O136="逻辑正确",1,IF(O136="局部正确",0.5,IF(O136="逻辑错误",0,""))))</x:f>
      </x:c>
      <x:c r="W136" s="177" t="str">
        <x:f>IF(A136="","",IF(OR(J136="红",J136="黑",J136="走水",J136="半红",J136="半黑"),1,0))</x:f>
      </x:c>
    </x:row>
    <x:row r="137">
      <x:c r="A137" s="160"/>
      <x:c r="B137" s="160"/>
      <x:c r="C137" s="160"/>
      <x:c r="D137" s="160"/>
      <x:c r="E137" s="160"/>
      <x:c r="F137" s="160"/>
      <x:c r="G137" s="161"/>
      <x:c r="H137" s="161"/>
      <x:c r="I137" s="161"/>
      <x:c r="J137" s="161"/>
      <x:c r="K137" s="161"/>
      <x:c r="L137" s="161" t="str">
        <x:f>IF(A137="","",K137-H137)</x:f>
      </x:c>
      <x:c r="M137" s="160"/>
      <x:c r="N137" s="160"/>
      <x:c r="O137" s="160"/>
      <x:c r="P137" s="160"/>
      <x:c r="Q137" s="176" t="str">
        <x:f>IF(A137="","",SUM($L$4:L137))</x:f>
      </x:c>
      <x:c r="R137" s="176" t="str">
        <x:f>IF(A137="","",MAX(0,$Q$4:Q137))</x:f>
      </x:c>
      <x:c r="S137" s="176" t="str">
        <x:f>IF(A137="","",Q137-R137)</x:f>
      </x:c>
      <x:c r="T137" s="177"/>
      <x:c r="U137" s="177" t="str">
        <x:f>IF(A137="","",IF(J137="红",1,IF(J137="半红",0.5,IF(J137="走水","",IF(J137="半黑",0,IF(J137="黑",0,""))))))</x:f>
      </x:c>
      <x:c r="V137" s="177" t="str">
        <x:f>IF(A137="","",IF(O137="逻辑正确",1,IF(O137="局部正确",0.5,IF(O137="逻辑错误",0,""))))</x:f>
      </x:c>
      <x:c r="W137" s="177" t="str">
        <x:f>IF(A137="","",IF(OR(J137="红",J137="黑",J137="走水",J137="半红",J137="半黑"),1,0))</x:f>
      </x:c>
    </x:row>
    <x:row r="138">
      <x:c r="A138" s="160"/>
      <x:c r="B138" s="160"/>
      <x:c r="C138" s="160"/>
      <x:c r="D138" s="160"/>
      <x:c r="E138" s="160"/>
      <x:c r="F138" s="160"/>
      <x:c r="G138" s="161"/>
      <x:c r="H138" s="161"/>
      <x:c r="I138" s="161"/>
      <x:c r="J138" s="161"/>
      <x:c r="K138" s="161"/>
      <x:c r="L138" s="161" t="str">
        <x:f>IF(A138="","",K138-H138)</x:f>
      </x:c>
      <x:c r="M138" s="160"/>
      <x:c r="N138" s="160"/>
      <x:c r="O138" s="160"/>
      <x:c r="P138" s="160"/>
      <x:c r="Q138" s="176" t="str">
        <x:f>IF(A138="","",SUM($L$4:L138))</x:f>
      </x:c>
      <x:c r="R138" s="176" t="str">
        <x:f>IF(A138="","",MAX(0,$Q$4:Q138))</x:f>
      </x:c>
      <x:c r="S138" s="176" t="str">
        <x:f>IF(A138="","",Q138-R138)</x:f>
      </x:c>
      <x:c r="T138" s="177"/>
      <x:c r="U138" s="177" t="str">
        <x:f>IF(A138="","",IF(J138="红",1,IF(J138="半红",0.5,IF(J138="走水","",IF(J138="半黑",0,IF(J138="黑",0,""))))))</x:f>
      </x:c>
      <x:c r="V138" s="177" t="str">
        <x:f>IF(A138="","",IF(O138="逻辑正确",1,IF(O138="局部正确",0.5,IF(O138="逻辑错误",0,""))))</x:f>
      </x:c>
      <x:c r="W138" s="177" t="str">
        <x:f>IF(A138="","",IF(OR(J138="红",J138="黑",J138="走水",J138="半红",J138="半黑"),1,0))</x:f>
      </x:c>
    </x:row>
    <x:row r="139">
      <x:c r="A139" s="160"/>
      <x:c r="B139" s="160"/>
      <x:c r="C139" s="160"/>
      <x:c r="D139" s="160"/>
      <x:c r="E139" s="160"/>
      <x:c r="F139" s="160"/>
      <x:c r="G139" s="161"/>
      <x:c r="H139" s="161"/>
      <x:c r="I139" s="161"/>
      <x:c r="J139" s="161"/>
      <x:c r="K139" s="161"/>
      <x:c r="L139" s="161" t="str">
        <x:f>IF(A139="","",K139-H139)</x:f>
      </x:c>
      <x:c r="M139" s="160"/>
      <x:c r="N139" s="160"/>
      <x:c r="O139" s="160"/>
      <x:c r="P139" s="160"/>
      <x:c r="Q139" s="176" t="str">
        <x:f>IF(A139="","",SUM($L$4:L139))</x:f>
      </x:c>
      <x:c r="R139" s="176" t="str">
        <x:f>IF(A139="","",MAX(0,$Q$4:Q139))</x:f>
      </x:c>
      <x:c r="S139" s="176" t="str">
        <x:f>IF(A139="","",Q139-R139)</x:f>
      </x:c>
      <x:c r="T139" s="177"/>
      <x:c r="U139" s="177" t="str">
        <x:f>IF(A139="","",IF(J139="红",1,IF(J139="半红",0.5,IF(J139="走水","",IF(J139="半黑",0,IF(J139="黑",0,""))))))</x:f>
      </x:c>
      <x:c r="V139" s="177" t="str">
        <x:f>IF(A139="","",IF(O139="逻辑正确",1,IF(O139="局部正确",0.5,IF(O139="逻辑错误",0,""))))</x:f>
      </x:c>
      <x:c r="W139" s="177" t="str">
        <x:f>IF(A139="","",IF(OR(J139="红",J139="黑",J139="走水",J139="半红",J139="半黑"),1,0))</x:f>
      </x:c>
    </x:row>
    <x:row r="140">
      <x:c r="A140" s="160"/>
      <x:c r="B140" s="160"/>
      <x:c r="C140" s="160"/>
      <x:c r="D140" s="160"/>
      <x:c r="E140" s="160"/>
      <x:c r="F140" s="160"/>
      <x:c r="G140" s="161"/>
      <x:c r="H140" s="161"/>
      <x:c r="I140" s="161"/>
      <x:c r="J140" s="161"/>
      <x:c r="K140" s="161"/>
      <x:c r="L140" s="161" t="str">
        <x:f>IF(A140="","",K140-H140)</x:f>
      </x:c>
      <x:c r="M140" s="160"/>
      <x:c r="N140" s="160"/>
      <x:c r="O140" s="160"/>
      <x:c r="P140" s="160"/>
      <x:c r="Q140" s="176" t="str">
        <x:f>IF(A140="","",SUM($L$4:L140))</x:f>
      </x:c>
      <x:c r="R140" s="176" t="str">
        <x:f>IF(A140="","",MAX(0,$Q$4:Q140))</x:f>
      </x:c>
      <x:c r="S140" s="176" t="str">
        <x:f>IF(A140="","",Q140-R140)</x:f>
      </x:c>
      <x:c r="T140" s="177"/>
      <x:c r="U140" s="177" t="str">
        <x:f>IF(A140="","",IF(J140="红",1,IF(J140="半红",0.5,IF(J140="走水","",IF(J140="半黑",0,IF(J140="黑",0,""))))))</x:f>
      </x:c>
      <x:c r="V140" s="177" t="str">
        <x:f>IF(A140="","",IF(O140="逻辑正确",1,IF(O140="局部正确",0.5,IF(O140="逻辑错误",0,""))))</x:f>
      </x:c>
      <x:c r="W140" s="177" t="str">
        <x:f>IF(A140="","",IF(OR(J140="红",J140="黑",J140="走水",J140="半红",J140="半黑"),1,0))</x:f>
      </x:c>
    </x:row>
    <x:row r="141">
      <x:c r="A141" s="160"/>
      <x:c r="B141" s="160"/>
      <x:c r="C141" s="160"/>
      <x:c r="D141" s="160"/>
      <x:c r="E141" s="160"/>
      <x:c r="F141" s="160"/>
      <x:c r="G141" s="161"/>
      <x:c r="H141" s="161"/>
      <x:c r="I141" s="161"/>
      <x:c r="J141" s="161"/>
      <x:c r="K141" s="161"/>
      <x:c r="L141" s="161" t="str">
        <x:f>IF(A141="","",K141-H141)</x:f>
      </x:c>
      <x:c r="M141" s="160"/>
      <x:c r="N141" s="160"/>
      <x:c r="O141" s="160"/>
      <x:c r="P141" s="160"/>
      <x:c r="Q141" s="176" t="str">
        <x:f>IF(A141="","",SUM($L$4:L141))</x:f>
      </x:c>
      <x:c r="R141" s="176" t="str">
        <x:f>IF(A141="","",MAX(0,$Q$4:Q141))</x:f>
      </x:c>
      <x:c r="S141" s="176" t="str">
        <x:f>IF(A141="","",Q141-R141)</x:f>
      </x:c>
      <x:c r="T141" s="177"/>
      <x:c r="U141" s="177" t="str">
        <x:f>IF(A141="","",IF(J141="红",1,IF(J141="半红",0.5,IF(J141="走水","",IF(J141="半黑",0,IF(J141="黑",0,""))))))</x:f>
      </x:c>
      <x:c r="V141" s="177" t="str">
        <x:f>IF(A141="","",IF(O141="逻辑正确",1,IF(O141="局部正确",0.5,IF(O141="逻辑错误",0,""))))</x:f>
      </x:c>
      <x:c r="W141" s="177" t="str">
        <x:f>IF(A141="","",IF(OR(J141="红",J141="黑",J141="走水",J141="半红",J141="半黑"),1,0))</x:f>
      </x:c>
    </x:row>
    <x:row r="142">
      <x:c r="A142" s="160"/>
      <x:c r="B142" s="160"/>
      <x:c r="C142" s="160"/>
      <x:c r="D142" s="160"/>
      <x:c r="E142" s="160"/>
      <x:c r="F142" s="160"/>
      <x:c r="G142" s="161"/>
      <x:c r="H142" s="161"/>
      <x:c r="I142" s="161"/>
      <x:c r="J142" s="161"/>
      <x:c r="K142" s="161"/>
      <x:c r="L142" s="161" t="str">
        <x:f>IF(A142="","",K142-H142)</x:f>
      </x:c>
      <x:c r="M142" s="160"/>
      <x:c r="N142" s="160"/>
      <x:c r="O142" s="160"/>
      <x:c r="P142" s="160"/>
      <x:c r="Q142" s="176" t="str">
        <x:f>IF(A142="","",SUM($L$4:L142))</x:f>
      </x:c>
      <x:c r="R142" s="176" t="str">
        <x:f>IF(A142="","",MAX(0,$Q$4:Q142))</x:f>
      </x:c>
      <x:c r="S142" s="176" t="str">
        <x:f>IF(A142="","",Q142-R142)</x:f>
      </x:c>
      <x:c r="T142" s="177"/>
      <x:c r="U142" s="177" t="str">
        <x:f>IF(A142="","",IF(J142="红",1,IF(J142="半红",0.5,IF(J142="走水","",IF(J142="半黑",0,IF(J142="黑",0,""))))))</x:f>
      </x:c>
      <x:c r="V142" s="177" t="str">
        <x:f>IF(A142="","",IF(O142="逻辑正确",1,IF(O142="局部正确",0.5,IF(O142="逻辑错误",0,""))))</x:f>
      </x:c>
      <x:c r="W142" s="177" t="str">
        <x:f>IF(A142="","",IF(OR(J142="红",J142="黑",J142="走水",J142="半红",J142="半黑"),1,0))</x:f>
      </x:c>
    </x:row>
    <x:row r="143">
      <x:c r="A143" s="160"/>
      <x:c r="B143" s="160"/>
      <x:c r="C143" s="160"/>
      <x:c r="D143" s="160"/>
      <x:c r="E143" s="160"/>
      <x:c r="F143" s="160"/>
      <x:c r="G143" s="161"/>
      <x:c r="H143" s="161"/>
      <x:c r="I143" s="161"/>
      <x:c r="J143" s="161"/>
      <x:c r="K143" s="161"/>
      <x:c r="L143" s="161" t="str">
        <x:f>IF(A143="","",K143-H143)</x:f>
      </x:c>
      <x:c r="M143" s="160"/>
      <x:c r="N143" s="160"/>
      <x:c r="O143" s="160"/>
      <x:c r="P143" s="160"/>
      <x:c r="Q143" s="176" t="str">
        <x:f>IF(A143="","",SUM($L$4:L143))</x:f>
      </x:c>
      <x:c r="R143" s="176" t="str">
        <x:f>IF(A143="","",MAX(0,$Q$4:Q143))</x:f>
      </x:c>
      <x:c r="S143" s="176" t="str">
        <x:f>IF(A143="","",Q143-R143)</x:f>
      </x:c>
      <x:c r="T143" s="177"/>
      <x:c r="U143" s="177" t="str">
        <x:f>IF(A143="","",IF(J143="红",1,IF(J143="半红",0.5,IF(J143="走水","",IF(J143="半黑",0,IF(J143="黑",0,""))))))</x:f>
      </x:c>
      <x:c r="V143" s="177" t="str">
        <x:f>IF(A143="","",IF(O143="逻辑正确",1,IF(O143="局部正确",0.5,IF(O143="逻辑错误",0,""))))</x:f>
      </x:c>
      <x:c r="W143" s="177" t="str">
        <x:f>IF(A143="","",IF(OR(J143="红",J143="黑",J143="走水",J143="半红",J143="半黑"),1,0))</x:f>
      </x:c>
    </x:row>
    <x:row r="144">
      <x:c r="A144" s="160"/>
      <x:c r="B144" s="160"/>
      <x:c r="C144" s="160"/>
      <x:c r="D144" s="160"/>
      <x:c r="E144" s="160"/>
      <x:c r="F144" s="160"/>
      <x:c r="G144" s="161"/>
      <x:c r="H144" s="161"/>
      <x:c r="I144" s="161"/>
      <x:c r="J144" s="161"/>
      <x:c r="K144" s="161"/>
      <x:c r="L144" s="161" t="str">
        <x:f>IF(A144="","",K144-H144)</x:f>
      </x:c>
      <x:c r="M144" s="160"/>
      <x:c r="N144" s="160"/>
      <x:c r="O144" s="160"/>
      <x:c r="P144" s="160"/>
      <x:c r="Q144" s="176" t="str">
        <x:f>IF(A144="","",SUM($L$4:L144))</x:f>
      </x:c>
      <x:c r="R144" s="176" t="str">
        <x:f>IF(A144="","",MAX(0,$Q$4:Q144))</x:f>
      </x:c>
      <x:c r="S144" s="176" t="str">
        <x:f>IF(A144="","",Q144-R144)</x:f>
      </x:c>
      <x:c r="T144" s="177"/>
      <x:c r="U144" s="177" t="str">
        <x:f>IF(A144="","",IF(J144="红",1,IF(J144="半红",0.5,IF(J144="走水","",IF(J144="半黑",0,IF(J144="黑",0,""))))))</x:f>
      </x:c>
      <x:c r="V144" s="177" t="str">
        <x:f>IF(A144="","",IF(O144="逻辑正确",1,IF(O144="局部正确",0.5,IF(O144="逻辑错误",0,""))))</x:f>
      </x:c>
      <x:c r="W144" s="177" t="str">
        <x:f>IF(A144="","",IF(OR(J144="红",J144="黑",J144="走水",J144="半红",J144="半黑"),1,0))</x:f>
      </x:c>
    </x:row>
    <x:row r="145">
      <x:c r="A145" s="160"/>
      <x:c r="B145" s="160"/>
      <x:c r="C145" s="160"/>
      <x:c r="D145" s="160"/>
      <x:c r="E145" s="160"/>
      <x:c r="F145" s="160"/>
      <x:c r="G145" s="161"/>
      <x:c r="H145" s="161"/>
      <x:c r="I145" s="161"/>
      <x:c r="J145" s="161"/>
      <x:c r="K145" s="161"/>
      <x:c r="L145" s="161" t="str">
        <x:f>IF(A145="","",K145-H145)</x:f>
      </x:c>
      <x:c r="M145" s="160"/>
      <x:c r="N145" s="160"/>
      <x:c r="O145" s="160"/>
      <x:c r="P145" s="160"/>
      <x:c r="Q145" s="176" t="str">
        <x:f>IF(A145="","",SUM($L$4:L145))</x:f>
      </x:c>
      <x:c r="R145" s="176" t="str">
        <x:f>IF(A145="","",MAX(0,$Q$4:Q145))</x:f>
      </x:c>
      <x:c r="S145" s="176" t="str">
        <x:f>IF(A145="","",Q145-R145)</x:f>
      </x:c>
      <x:c r="T145" s="177"/>
      <x:c r="U145" s="177" t="str">
        <x:f>IF(A145="","",IF(J145="红",1,IF(J145="半红",0.5,IF(J145="走水","",IF(J145="半黑",0,IF(J145="黑",0,""))))))</x:f>
      </x:c>
      <x:c r="V145" s="177" t="str">
        <x:f>IF(A145="","",IF(O145="逻辑正确",1,IF(O145="局部正确",0.5,IF(O145="逻辑错误",0,""))))</x:f>
      </x:c>
      <x:c r="W145" s="177" t="str">
        <x:f>IF(A145="","",IF(OR(J145="红",J145="黑",J145="走水",J145="半红",J145="半黑"),1,0))</x:f>
      </x:c>
    </x:row>
    <x:row r="146">
      <x:c r="A146" s="160"/>
      <x:c r="B146" s="160"/>
      <x:c r="C146" s="160"/>
      <x:c r="D146" s="160"/>
      <x:c r="E146" s="160"/>
      <x:c r="F146" s="160"/>
      <x:c r="G146" s="161"/>
      <x:c r="H146" s="161"/>
      <x:c r="I146" s="161"/>
      <x:c r="J146" s="161"/>
      <x:c r="K146" s="161"/>
      <x:c r="L146" s="161" t="str">
        <x:f>IF(A146="","",K146-H146)</x:f>
      </x:c>
      <x:c r="M146" s="160"/>
      <x:c r="N146" s="160"/>
      <x:c r="O146" s="160"/>
      <x:c r="P146" s="160"/>
      <x:c r="Q146" s="176" t="str">
        <x:f>IF(A146="","",SUM($L$4:L146))</x:f>
      </x:c>
      <x:c r="R146" s="176" t="str">
        <x:f>IF(A146="","",MAX(0,$Q$4:Q146))</x:f>
      </x:c>
      <x:c r="S146" s="176" t="str">
        <x:f>IF(A146="","",Q146-R146)</x:f>
      </x:c>
      <x:c r="T146" s="177"/>
      <x:c r="U146" s="177" t="str">
        <x:f>IF(A146="","",IF(J146="红",1,IF(J146="半红",0.5,IF(J146="走水","",IF(J146="半黑",0,IF(J146="黑",0,""))))))</x:f>
      </x:c>
      <x:c r="V146" s="177" t="str">
        <x:f>IF(A146="","",IF(O146="逻辑正确",1,IF(O146="局部正确",0.5,IF(O146="逻辑错误",0,""))))</x:f>
      </x:c>
      <x:c r="W146" s="177" t="str">
        <x:f>IF(A146="","",IF(OR(J146="红",J146="黑",J146="走水",J146="半红",J146="半黑"),1,0))</x:f>
      </x:c>
    </x:row>
    <x:row r="147">
      <x:c r="A147" s="160"/>
      <x:c r="B147" s="160"/>
      <x:c r="C147" s="160"/>
      <x:c r="D147" s="160"/>
      <x:c r="E147" s="160"/>
      <x:c r="F147" s="160"/>
      <x:c r="G147" s="161"/>
      <x:c r="H147" s="161"/>
      <x:c r="I147" s="161"/>
      <x:c r="J147" s="161"/>
      <x:c r="K147" s="161"/>
      <x:c r="L147" s="161" t="str">
        <x:f>IF(A147="","",K147-H147)</x:f>
      </x:c>
      <x:c r="M147" s="160"/>
      <x:c r="N147" s="160"/>
      <x:c r="O147" s="160"/>
      <x:c r="P147" s="160"/>
      <x:c r="Q147" s="176" t="str">
        <x:f>IF(A147="","",SUM($L$4:L147))</x:f>
      </x:c>
      <x:c r="R147" s="176" t="str">
        <x:f>IF(A147="","",MAX(0,$Q$4:Q147))</x:f>
      </x:c>
      <x:c r="S147" s="176" t="str">
        <x:f>IF(A147="","",Q147-R147)</x:f>
      </x:c>
      <x:c r="T147" s="177"/>
      <x:c r="U147" s="177" t="str">
        <x:f>IF(A147="","",IF(J147="红",1,IF(J147="半红",0.5,IF(J147="走水","",IF(J147="半黑",0,IF(J147="黑",0,""))))))</x:f>
      </x:c>
      <x:c r="V147" s="177" t="str">
        <x:f>IF(A147="","",IF(O147="逻辑正确",1,IF(O147="局部正确",0.5,IF(O147="逻辑错误",0,""))))</x:f>
      </x:c>
      <x:c r="W147" s="177" t="str">
        <x:f>IF(A147="","",IF(OR(J147="红",J147="黑",J147="走水",J147="半红",J147="半黑"),1,0))</x:f>
      </x:c>
    </x:row>
    <x:row r="148">
      <x:c r="A148" s="160"/>
      <x:c r="B148" s="160"/>
      <x:c r="C148" s="160"/>
      <x:c r="D148" s="160"/>
      <x:c r="E148" s="160"/>
      <x:c r="F148" s="160"/>
      <x:c r="G148" s="161"/>
      <x:c r="H148" s="161"/>
      <x:c r="I148" s="161"/>
      <x:c r="J148" s="161"/>
      <x:c r="K148" s="161"/>
      <x:c r="L148" s="161" t="str">
        <x:f>IF(A148="","",K148-H148)</x:f>
      </x:c>
      <x:c r="M148" s="160"/>
      <x:c r="N148" s="160"/>
      <x:c r="O148" s="160"/>
      <x:c r="P148" s="160"/>
      <x:c r="Q148" s="176" t="str">
        <x:f>IF(A148="","",SUM($L$4:L148))</x:f>
      </x:c>
      <x:c r="R148" s="176" t="str">
        <x:f>IF(A148="","",MAX(0,$Q$4:Q148))</x:f>
      </x:c>
      <x:c r="S148" s="176" t="str">
        <x:f>IF(A148="","",Q148-R148)</x:f>
      </x:c>
      <x:c r="T148" s="177"/>
      <x:c r="U148" s="177" t="str">
        <x:f>IF(A148="","",IF(J148="红",1,IF(J148="半红",0.5,IF(J148="走水","",IF(J148="半黑",0,IF(J148="黑",0,""))))))</x:f>
      </x:c>
      <x:c r="V148" s="177" t="str">
        <x:f>IF(A148="","",IF(O148="逻辑正确",1,IF(O148="局部正确",0.5,IF(O148="逻辑错误",0,""))))</x:f>
      </x:c>
      <x:c r="W148" s="177" t="str">
        <x:f>IF(A148="","",IF(OR(J148="红",J148="黑",J148="走水",J148="半红",J148="半黑"),1,0))</x:f>
      </x:c>
    </x:row>
    <x:row r="149">
      <x:c r="A149" s="160"/>
      <x:c r="B149" s="160"/>
      <x:c r="C149" s="160"/>
      <x:c r="D149" s="160"/>
      <x:c r="E149" s="160"/>
      <x:c r="F149" s="160"/>
      <x:c r="G149" s="161"/>
      <x:c r="H149" s="161"/>
      <x:c r="I149" s="161"/>
      <x:c r="J149" s="161"/>
      <x:c r="K149" s="161"/>
      <x:c r="L149" s="161" t="str">
        <x:f>IF(A149="","",K149-H149)</x:f>
      </x:c>
      <x:c r="M149" s="160"/>
      <x:c r="N149" s="160"/>
      <x:c r="O149" s="160"/>
      <x:c r="P149" s="160"/>
      <x:c r="Q149" s="176" t="str">
        <x:f>IF(A149="","",SUM($L$4:L149))</x:f>
      </x:c>
      <x:c r="R149" s="176" t="str">
        <x:f>IF(A149="","",MAX(0,$Q$4:Q149))</x:f>
      </x:c>
      <x:c r="S149" s="176" t="str">
        <x:f>IF(A149="","",Q149-R149)</x:f>
      </x:c>
      <x:c r="T149" s="177"/>
      <x:c r="U149" s="177" t="str">
        <x:f>IF(A149="","",IF(J149="红",1,IF(J149="半红",0.5,IF(J149="走水","",IF(J149="半黑",0,IF(J149="黑",0,""))))))</x:f>
      </x:c>
      <x:c r="V149" s="177" t="str">
        <x:f>IF(A149="","",IF(O149="逻辑正确",1,IF(O149="局部正确",0.5,IF(O149="逻辑错误",0,""))))</x:f>
      </x:c>
      <x:c r="W149" s="177" t="str">
        <x:f>IF(A149="","",IF(OR(J149="红",J149="黑",J149="走水",J149="半红",J149="半黑"),1,0))</x:f>
      </x:c>
    </x:row>
    <x:row r="150">
      <x:c r="A150" s="160"/>
      <x:c r="B150" s="160"/>
      <x:c r="C150" s="160"/>
      <x:c r="D150" s="160"/>
      <x:c r="E150" s="160"/>
      <x:c r="F150" s="160"/>
      <x:c r="G150" s="161"/>
      <x:c r="H150" s="161"/>
      <x:c r="I150" s="161"/>
      <x:c r="J150" s="161"/>
      <x:c r="K150" s="161"/>
      <x:c r="L150" s="161" t="str">
        <x:f>IF(A150="","",K150-H150)</x:f>
      </x:c>
      <x:c r="M150" s="160"/>
      <x:c r="N150" s="160"/>
      <x:c r="O150" s="160"/>
      <x:c r="P150" s="160"/>
      <x:c r="Q150" s="176" t="str">
        <x:f>IF(A150="","",SUM($L$4:L150))</x:f>
      </x:c>
      <x:c r="R150" s="176" t="str">
        <x:f>IF(A150="","",MAX(0,$Q$4:Q150))</x:f>
      </x:c>
      <x:c r="S150" s="176" t="str">
        <x:f>IF(A150="","",Q150-R150)</x:f>
      </x:c>
      <x:c r="T150" s="177"/>
      <x:c r="U150" s="177" t="str">
        <x:f>IF(A150="","",IF(J150="红",1,IF(J150="半红",0.5,IF(J150="走水","",IF(J150="半黑",0,IF(J150="黑",0,""))))))</x:f>
      </x:c>
      <x:c r="V150" s="177" t="str">
        <x:f>IF(A150="","",IF(O150="逻辑正确",1,IF(O150="局部正确",0.5,IF(O150="逻辑错误",0,""))))</x:f>
      </x:c>
      <x:c r="W150" s="177" t="str">
        <x:f>IF(A150="","",IF(OR(J150="红",J150="黑",J150="走水",J150="半红",J150="半黑"),1,0))</x:f>
      </x:c>
    </x:row>
    <x:row r="151">
      <x:c r="A151" s="160"/>
      <x:c r="B151" s="160"/>
      <x:c r="C151" s="160"/>
      <x:c r="D151" s="160"/>
      <x:c r="E151" s="160"/>
      <x:c r="F151" s="160"/>
      <x:c r="G151" s="161"/>
      <x:c r="H151" s="161"/>
      <x:c r="I151" s="161"/>
      <x:c r="J151" s="161"/>
      <x:c r="K151" s="161"/>
      <x:c r="L151" s="161" t="str">
        <x:f>IF(A151="","",K151-H151)</x:f>
      </x:c>
      <x:c r="M151" s="160"/>
      <x:c r="N151" s="160"/>
      <x:c r="O151" s="160"/>
      <x:c r="P151" s="160"/>
      <x:c r="Q151" s="176" t="str">
        <x:f>IF(A151="","",SUM($L$4:L151))</x:f>
      </x:c>
      <x:c r="R151" s="176" t="str">
        <x:f>IF(A151="","",MAX(0,$Q$4:Q151))</x:f>
      </x:c>
      <x:c r="S151" s="176" t="str">
        <x:f>IF(A151="","",Q151-R151)</x:f>
      </x:c>
      <x:c r="T151" s="177"/>
      <x:c r="U151" s="177" t="str">
        <x:f>IF(A151="","",IF(J151="红",1,IF(J151="半红",0.5,IF(J151="走水","",IF(J151="半黑",0,IF(J151="黑",0,""))))))</x:f>
      </x:c>
      <x:c r="V151" s="177" t="str">
        <x:f>IF(A151="","",IF(O151="逻辑正确",1,IF(O151="局部正确",0.5,IF(O151="逻辑错误",0,""))))</x:f>
      </x:c>
      <x:c r="W151" s="177" t="str">
        <x:f>IF(A151="","",IF(OR(J151="红",J151="黑",J151="走水",J151="半红",J151="半黑"),1,0))</x:f>
      </x:c>
    </x:row>
    <x:row r="152">
      <x:c r="A152" s="160"/>
      <x:c r="B152" s="160"/>
      <x:c r="C152" s="160"/>
      <x:c r="D152" s="160"/>
      <x:c r="E152" s="160"/>
      <x:c r="F152" s="160"/>
      <x:c r="G152" s="161"/>
      <x:c r="H152" s="161"/>
      <x:c r="I152" s="161"/>
      <x:c r="J152" s="161"/>
      <x:c r="K152" s="161"/>
      <x:c r="L152" s="161" t="str">
        <x:f>IF(A152="","",K152-H152)</x:f>
      </x:c>
      <x:c r="M152" s="160"/>
      <x:c r="N152" s="160"/>
      <x:c r="O152" s="160"/>
      <x:c r="P152" s="160"/>
      <x:c r="Q152" s="176" t="str">
        <x:f>IF(A152="","",SUM($L$4:L152))</x:f>
      </x:c>
      <x:c r="R152" s="176" t="str">
        <x:f>IF(A152="","",MAX(0,$Q$4:Q152))</x:f>
      </x:c>
      <x:c r="S152" s="176" t="str">
        <x:f>IF(A152="","",Q152-R152)</x:f>
      </x:c>
      <x:c r="T152" s="177"/>
      <x:c r="U152" s="177" t="str">
        <x:f>IF(A152="","",IF(J152="红",1,IF(J152="半红",0.5,IF(J152="走水","",IF(J152="半黑",0,IF(J152="黑",0,""))))))</x:f>
      </x:c>
      <x:c r="V152" s="177" t="str">
        <x:f>IF(A152="","",IF(O152="逻辑正确",1,IF(O152="局部正确",0.5,IF(O152="逻辑错误",0,""))))</x:f>
      </x:c>
      <x:c r="W152" s="177" t="str">
        <x:f>IF(A152="","",IF(OR(J152="红",J152="黑",J152="走水",J152="半红",J152="半黑"),1,0))</x:f>
      </x:c>
    </x:row>
    <x:row r="153">
      <x:c r="A153" s="160"/>
      <x:c r="B153" s="160"/>
      <x:c r="C153" s="160"/>
      <x:c r="D153" s="160"/>
      <x:c r="E153" s="160"/>
      <x:c r="F153" s="160"/>
      <x:c r="G153" s="161"/>
      <x:c r="H153" s="161"/>
      <x:c r="I153" s="161"/>
      <x:c r="J153" s="161"/>
      <x:c r="K153" s="161"/>
      <x:c r="L153" s="161" t="str">
        <x:f>IF(A153="","",K153-H153)</x:f>
      </x:c>
      <x:c r="M153" s="160"/>
      <x:c r="N153" s="160"/>
      <x:c r="O153" s="160"/>
      <x:c r="P153" s="160"/>
      <x:c r="Q153" s="176" t="str">
        <x:f>IF(A153="","",SUM($L$4:L153))</x:f>
      </x:c>
      <x:c r="R153" s="176" t="str">
        <x:f>IF(A153="","",MAX(0,$Q$4:Q153))</x:f>
      </x:c>
      <x:c r="S153" s="176" t="str">
        <x:f>IF(A153="","",Q153-R153)</x:f>
      </x:c>
      <x:c r="T153" s="177"/>
      <x:c r="U153" s="177" t="str">
        <x:f>IF(A153="","",IF(J153="红",1,IF(J153="半红",0.5,IF(J153="走水","",IF(J153="半黑",0,IF(J153="黑",0,""))))))</x:f>
      </x:c>
      <x:c r="V153" s="177" t="str">
        <x:f>IF(A153="","",IF(O153="逻辑正确",1,IF(O153="局部正确",0.5,IF(O153="逻辑错误",0,""))))</x:f>
      </x:c>
      <x:c r="W153" s="177" t="str">
        <x:f>IF(A153="","",IF(OR(J153="红",J153="黑",J153="走水",J153="半红",J153="半黑"),1,0))</x:f>
      </x:c>
    </x:row>
    <x:row r="154">
      <x:c r="A154" s="160"/>
      <x:c r="B154" s="160"/>
      <x:c r="C154" s="160"/>
      <x:c r="D154" s="160"/>
      <x:c r="E154" s="160"/>
      <x:c r="F154" s="160"/>
      <x:c r="G154" s="161"/>
      <x:c r="H154" s="161"/>
      <x:c r="I154" s="161"/>
      <x:c r="J154" s="161"/>
      <x:c r="K154" s="161"/>
      <x:c r="L154" s="161" t="str">
        <x:f>IF(A154="","",K154-H154)</x:f>
      </x:c>
      <x:c r="M154" s="160"/>
      <x:c r="N154" s="160"/>
      <x:c r="O154" s="160"/>
      <x:c r="P154" s="160"/>
      <x:c r="Q154" s="176" t="str">
        <x:f>IF(A154="","",SUM($L$4:L154))</x:f>
      </x:c>
      <x:c r="R154" s="176" t="str">
        <x:f>IF(A154="","",MAX(0,$Q$4:Q154))</x:f>
      </x:c>
      <x:c r="S154" s="176" t="str">
        <x:f>IF(A154="","",Q154-R154)</x:f>
      </x:c>
      <x:c r="T154" s="177"/>
      <x:c r="U154" s="177" t="str">
        <x:f>IF(A154="","",IF(J154="红",1,IF(J154="半红",0.5,IF(J154="走水","",IF(J154="半黑",0,IF(J154="黑",0,""))))))</x:f>
      </x:c>
      <x:c r="V154" s="177" t="str">
        <x:f>IF(A154="","",IF(O154="逻辑正确",1,IF(O154="局部正确",0.5,IF(O154="逻辑错误",0,""))))</x:f>
      </x:c>
      <x:c r="W154" s="177" t="str">
        <x:f>IF(A154="","",IF(OR(J154="红",J154="黑",J154="走水",J154="半红",J154="半黑"),1,0))</x:f>
      </x:c>
    </x:row>
    <x:row r="155">
      <x:c r="A155" s="160"/>
      <x:c r="B155" s="160"/>
      <x:c r="C155" s="160"/>
      <x:c r="D155" s="160"/>
      <x:c r="E155" s="160"/>
      <x:c r="F155" s="160"/>
      <x:c r="G155" s="161"/>
      <x:c r="H155" s="161"/>
      <x:c r="I155" s="161"/>
      <x:c r="J155" s="161"/>
      <x:c r="K155" s="161"/>
      <x:c r="L155" s="161" t="str">
        <x:f>IF(A155="","",K155-H155)</x:f>
      </x:c>
      <x:c r="M155" s="160"/>
      <x:c r="N155" s="160"/>
      <x:c r="O155" s="160"/>
      <x:c r="P155" s="160"/>
      <x:c r="Q155" s="176" t="str">
        <x:f>IF(A155="","",SUM($L$4:L155))</x:f>
      </x:c>
      <x:c r="R155" s="176" t="str">
        <x:f>IF(A155="","",MAX(0,$Q$4:Q155))</x:f>
      </x:c>
      <x:c r="S155" s="176" t="str">
        <x:f>IF(A155="","",Q155-R155)</x:f>
      </x:c>
      <x:c r="T155" s="177"/>
      <x:c r="U155" s="177" t="str">
        <x:f>IF(A155="","",IF(J155="红",1,IF(J155="半红",0.5,IF(J155="走水","",IF(J155="半黑",0,IF(J155="黑",0,""))))))</x:f>
      </x:c>
      <x:c r="V155" s="177" t="str">
        <x:f>IF(A155="","",IF(O155="逻辑正确",1,IF(O155="局部正确",0.5,IF(O155="逻辑错误",0,""))))</x:f>
      </x:c>
      <x:c r="W155" s="177" t="str">
        <x:f>IF(A155="","",IF(OR(J155="红",J155="黑",J155="走水",J155="半红",J155="半黑"),1,0))</x:f>
      </x:c>
    </x:row>
    <x:row r="156">
      <x:c r="A156" s="160"/>
      <x:c r="B156" s="160"/>
      <x:c r="C156" s="160"/>
      <x:c r="D156" s="160"/>
      <x:c r="E156" s="160"/>
      <x:c r="F156" s="160"/>
      <x:c r="G156" s="161"/>
      <x:c r="H156" s="161"/>
      <x:c r="I156" s="161"/>
      <x:c r="J156" s="161"/>
      <x:c r="K156" s="161"/>
      <x:c r="L156" s="161" t="str">
        <x:f>IF(A156="","",K156-H156)</x:f>
      </x:c>
      <x:c r="M156" s="160"/>
      <x:c r="N156" s="160"/>
      <x:c r="O156" s="160"/>
      <x:c r="P156" s="160"/>
      <x:c r="Q156" s="176" t="str">
        <x:f>IF(A156="","",SUM($L$4:L156))</x:f>
      </x:c>
      <x:c r="R156" s="176" t="str">
        <x:f>IF(A156="","",MAX(0,$Q$4:Q156))</x:f>
      </x:c>
      <x:c r="S156" s="176" t="str">
        <x:f>IF(A156="","",Q156-R156)</x:f>
      </x:c>
      <x:c r="T156" s="177"/>
      <x:c r="U156" s="177" t="str">
        <x:f>IF(A156="","",IF(J156="红",1,IF(J156="半红",0.5,IF(J156="走水","",IF(J156="半黑",0,IF(J156="黑",0,""))))))</x:f>
      </x:c>
      <x:c r="V156" s="177" t="str">
        <x:f>IF(A156="","",IF(O156="逻辑正确",1,IF(O156="局部正确",0.5,IF(O156="逻辑错误",0,""))))</x:f>
      </x:c>
      <x:c r="W156" s="177" t="str">
        <x:f>IF(A156="","",IF(OR(J156="红",J156="黑",J156="走水",J156="半红",J156="半黑"),1,0))</x:f>
      </x:c>
    </x:row>
    <x:row r="157">
      <x:c r="A157" s="160"/>
      <x:c r="B157" s="160"/>
      <x:c r="C157" s="160"/>
      <x:c r="D157" s="160"/>
      <x:c r="E157" s="160"/>
      <x:c r="F157" s="160"/>
      <x:c r="G157" s="161"/>
      <x:c r="H157" s="161"/>
      <x:c r="I157" s="161"/>
      <x:c r="J157" s="161"/>
      <x:c r="K157" s="161"/>
      <x:c r="L157" s="161" t="str">
        <x:f>IF(A157="","",K157-H157)</x:f>
      </x:c>
      <x:c r="M157" s="160"/>
      <x:c r="N157" s="160"/>
      <x:c r="O157" s="160"/>
      <x:c r="P157" s="160"/>
      <x:c r="Q157" s="176" t="str">
        <x:f>IF(A157="","",SUM($L$4:L157))</x:f>
      </x:c>
      <x:c r="R157" s="176" t="str">
        <x:f>IF(A157="","",MAX(0,$Q$4:Q157))</x:f>
      </x:c>
      <x:c r="S157" s="176" t="str">
        <x:f>IF(A157="","",Q157-R157)</x:f>
      </x:c>
      <x:c r="T157" s="177"/>
      <x:c r="U157" s="177" t="str">
        <x:f>IF(A157="","",IF(J157="红",1,IF(J157="半红",0.5,IF(J157="走水","",IF(J157="半黑",0,IF(J157="黑",0,""))))))</x:f>
      </x:c>
      <x:c r="V157" s="177" t="str">
        <x:f>IF(A157="","",IF(O157="逻辑正确",1,IF(O157="局部正确",0.5,IF(O157="逻辑错误",0,""))))</x:f>
      </x:c>
      <x:c r="W157" s="177" t="str">
        <x:f>IF(A157="","",IF(OR(J157="红",J157="黑",J157="走水",J157="半红",J157="半黑"),1,0))</x:f>
      </x:c>
    </x:row>
    <x:row r="158">
      <x:c r="A158" s="160"/>
      <x:c r="B158" s="160"/>
      <x:c r="C158" s="160"/>
      <x:c r="D158" s="160"/>
      <x:c r="E158" s="160"/>
      <x:c r="F158" s="160"/>
      <x:c r="G158" s="161"/>
      <x:c r="H158" s="161"/>
      <x:c r="I158" s="161"/>
      <x:c r="J158" s="161"/>
      <x:c r="K158" s="161"/>
      <x:c r="L158" s="161" t="str">
        <x:f>IF(A158="","",K158-H158)</x:f>
      </x:c>
      <x:c r="M158" s="160"/>
      <x:c r="N158" s="160"/>
      <x:c r="O158" s="160"/>
      <x:c r="P158" s="160"/>
      <x:c r="Q158" s="176" t="str">
        <x:f>IF(A158="","",SUM($L$4:L158))</x:f>
      </x:c>
      <x:c r="R158" s="176" t="str">
        <x:f>IF(A158="","",MAX(0,$Q$4:Q158))</x:f>
      </x:c>
      <x:c r="S158" s="176" t="str">
        <x:f>IF(A158="","",Q158-R158)</x:f>
      </x:c>
      <x:c r="T158" s="177"/>
      <x:c r="U158" s="177" t="str">
        <x:f>IF(A158="","",IF(J158="红",1,IF(J158="半红",0.5,IF(J158="走水","",IF(J158="半黑",0,IF(J158="黑",0,""))))))</x:f>
      </x:c>
      <x:c r="V158" s="177" t="str">
        <x:f>IF(A158="","",IF(O158="逻辑正确",1,IF(O158="局部正确",0.5,IF(O158="逻辑错误",0,""))))</x:f>
      </x:c>
      <x:c r="W158" s="177" t="str">
        <x:f>IF(A158="","",IF(OR(J158="红",J158="黑",J158="走水",J158="半红",J158="半黑"),1,0))</x:f>
      </x:c>
    </x:row>
    <x:row r="159">
      <x:c r="A159" s="160"/>
      <x:c r="B159" s="160"/>
      <x:c r="C159" s="160"/>
      <x:c r="D159" s="160"/>
      <x:c r="E159" s="160"/>
      <x:c r="F159" s="160"/>
      <x:c r="G159" s="161"/>
      <x:c r="H159" s="161"/>
      <x:c r="I159" s="161"/>
      <x:c r="J159" s="161"/>
      <x:c r="K159" s="161"/>
      <x:c r="L159" s="161" t="str">
        <x:f>IF(A159="","",K159-H159)</x:f>
      </x:c>
      <x:c r="M159" s="160"/>
      <x:c r="N159" s="160"/>
      <x:c r="O159" s="160"/>
      <x:c r="P159" s="160"/>
      <x:c r="Q159" s="176" t="str">
        <x:f>IF(A159="","",SUM($L$4:L159))</x:f>
      </x:c>
      <x:c r="R159" s="176" t="str">
        <x:f>IF(A159="","",MAX(0,$Q$4:Q159))</x:f>
      </x:c>
      <x:c r="S159" s="176" t="str">
        <x:f>IF(A159="","",Q159-R159)</x:f>
      </x:c>
      <x:c r="T159" s="177"/>
      <x:c r="U159" s="177" t="str">
        <x:f>IF(A159="","",IF(J159="红",1,IF(J159="半红",0.5,IF(J159="走水","",IF(J159="半黑",0,IF(J159="黑",0,""))))))</x:f>
      </x:c>
      <x:c r="V159" s="177" t="str">
        <x:f>IF(A159="","",IF(O159="逻辑正确",1,IF(O159="局部正确",0.5,IF(O159="逻辑错误",0,""))))</x:f>
      </x:c>
      <x:c r="W159" s="177" t="str">
        <x:f>IF(A159="","",IF(OR(J159="红",J159="黑",J159="走水",J159="半红",J159="半黑"),1,0))</x:f>
      </x:c>
    </x:row>
    <x:row r="160">
      <x:c r="A160" s="160"/>
      <x:c r="B160" s="160"/>
      <x:c r="C160" s="160"/>
      <x:c r="D160" s="160"/>
      <x:c r="E160" s="160"/>
      <x:c r="F160" s="160"/>
      <x:c r="G160" s="161"/>
      <x:c r="H160" s="161"/>
      <x:c r="I160" s="161"/>
      <x:c r="J160" s="161"/>
      <x:c r="K160" s="161"/>
      <x:c r="L160" s="161" t="str">
        <x:f>IF(A160="","",K160-H160)</x:f>
      </x:c>
      <x:c r="M160" s="160"/>
      <x:c r="N160" s="160"/>
      <x:c r="O160" s="160"/>
      <x:c r="P160" s="160"/>
      <x:c r="Q160" s="176" t="str">
        <x:f>IF(A160="","",SUM($L$4:L160))</x:f>
      </x:c>
      <x:c r="R160" s="176" t="str">
        <x:f>IF(A160="","",MAX(0,$Q$4:Q160))</x:f>
      </x:c>
      <x:c r="S160" s="176" t="str">
        <x:f>IF(A160="","",Q160-R160)</x:f>
      </x:c>
      <x:c r="T160" s="177"/>
      <x:c r="U160" s="177" t="str">
        <x:f>IF(A160="","",IF(J160="红",1,IF(J160="半红",0.5,IF(J160="走水","",IF(J160="半黑",0,IF(J160="黑",0,""))))))</x:f>
      </x:c>
      <x:c r="V160" s="177" t="str">
        <x:f>IF(A160="","",IF(O160="逻辑正确",1,IF(O160="局部正确",0.5,IF(O160="逻辑错误",0,""))))</x:f>
      </x:c>
      <x:c r="W160" s="177" t="str">
        <x:f>IF(A160="","",IF(OR(J160="红",J160="黑",J160="走水",J160="半红",J160="半黑"),1,0))</x:f>
      </x:c>
    </x:row>
    <x:row r="161">
      <x:c r="A161" s="160"/>
      <x:c r="B161" s="160"/>
      <x:c r="C161" s="160"/>
      <x:c r="D161" s="160"/>
      <x:c r="E161" s="160"/>
      <x:c r="F161" s="160"/>
      <x:c r="G161" s="161"/>
      <x:c r="H161" s="161"/>
      <x:c r="I161" s="161"/>
      <x:c r="J161" s="161"/>
      <x:c r="K161" s="161"/>
      <x:c r="L161" s="161" t="str">
        <x:f>IF(A161="","",K161-H161)</x:f>
      </x:c>
      <x:c r="M161" s="160"/>
      <x:c r="N161" s="160"/>
      <x:c r="O161" s="160"/>
      <x:c r="P161" s="160"/>
      <x:c r="Q161" s="176" t="str">
        <x:f>IF(A161="","",SUM($L$4:L161))</x:f>
      </x:c>
      <x:c r="R161" s="176" t="str">
        <x:f>IF(A161="","",MAX(0,$Q$4:Q161))</x:f>
      </x:c>
      <x:c r="S161" s="176" t="str">
        <x:f>IF(A161="","",Q161-R161)</x:f>
      </x:c>
      <x:c r="T161" s="177"/>
      <x:c r="U161" s="177" t="str">
        <x:f>IF(A161="","",IF(J161="红",1,IF(J161="半红",0.5,IF(J161="走水","",IF(J161="半黑",0,IF(J161="黑",0,""))))))</x:f>
      </x:c>
      <x:c r="V161" s="177" t="str">
        <x:f>IF(A161="","",IF(O161="逻辑正确",1,IF(O161="局部正确",0.5,IF(O161="逻辑错误",0,""))))</x:f>
      </x:c>
      <x:c r="W161" s="177" t="str">
        <x:f>IF(A161="","",IF(OR(J161="红",J161="黑",J161="走水",J161="半红",J161="半黑"),1,0))</x:f>
      </x:c>
    </x:row>
    <x:row r="162">
      <x:c r="A162" s="160"/>
      <x:c r="B162" s="160"/>
      <x:c r="C162" s="160"/>
      <x:c r="D162" s="160"/>
      <x:c r="E162" s="160"/>
      <x:c r="F162" s="160"/>
      <x:c r="G162" s="161"/>
      <x:c r="H162" s="161"/>
      <x:c r="I162" s="161"/>
      <x:c r="J162" s="161"/>
      <x:c r="K162" s="161"/>
      <x:c r="L162" s="161" t="str">
        <x:f>IF(A162="","",K162-H162)</x:f>
      </x:c>
      <x:c r="M162" s="160"/>
      <x:c r="N162" s="160"/>
      <x:c r="O162" s="160"/>
      <x:c r="P162" s="160"/>
      <x:c r="Q162" s="176" t="str">
        <x:f>IF(A162="","",SUM($L$4:L162))</x:f>
      </x:c>
      <x:c r="R162" s="176" t="str">
        <x:f>IF(A162="","",MAX(0,$Q$4:Q162))</x:f>
      </x:c>
      <x:c r="S162" s="176" t="str">
        <x:f>IF(A162="","",Q162-R162)</x:f>
      </x:c>
      <x:c r="T162" s="177"/>
      <x:c r="U162" s="177" t="str">
        <x:f>IF(A162="","",IF(J162="红",1,IF(J162="半红",0.5,IF(J162="走水","",IF(J162="半黑",0,IF(J162="黑",0,""))))))</x:f>
      </x:c>
      <x:c r="V162" s="177" t="str">
        <x:f>IF(A162="","",IF(O162="逻辑正确",1,IF(O162="局部正确",0.5,IF(O162="逻辑错误",0,""))))</x:f>
      </x:c>
      <x:c r="W162" s="177" t="str">
        <x:f>IF(A162="","",IF(OR(J162="红",J162="黑",J162="走水",J162="半红",J162="半黑"),1,0))</x:f>
      </x:c>
    </x:row>
    <x:row r="163">
      <x:c r="A163" s="160"/>
      <x:c r="B163" s="160"/>
      <x:c r="C163" s="160"/>
      <x:c r="D163" s="160"/>
      <x:c r="E163" s="160"/>
      <x:c r="F163" s="160"/>
      <x:c r="G163" s="161"/>
      <x:c r="H163" s="161"/>
      <x:c r="I163" s="161"/>
      <x:c r="J163" s="161"/>
      <x:c r="K163" s="161"/>
      <x:c r="L163" s="161" t="str">
        <x:f>IF(A163="","",K163-H163)</x:f>
      </x:c>
      <x:c r="M163" s="160"/>
      <x:c r="N163" s="160"/>
      <x:c r="O163" s="160"/>
      <x:c r="P163" s="160"/>
      <x:c r="Q163" s="176" t="str">
        <x:f>IF(A163="","",SUM($L$4:L163))</x:f>
      </x:c>
      <x:c r="R163" s="176" t="str">
        <x:f>IF(A163="","",MAX(0,$Q$4:Q163))</x:f>
      </x:c>
      <x:c r="S163" s="176" t="str">
        <x:f>IF(A163="","",Q163-R163)</x:f>
      </x:c>
      <x:c r="T163" s="177"/>
      <x:c r="U163" s="177" t="str">
        <x:f>IF(A163="","",IF(J163="红",1,IF(J163="半红",0.5,IF(J163="走水","",IF(J163="半黑",0,IF(J163="黑",0,""))))))</x:f>
      </x:c>
      <x:c r="V163" s="177" t="str">
        <x:f>IF(A163="","",IF(O163="逻辑正确",1,IF(O163="局部正确",0.5,IF(O163="逻辑错误",0,""))))</x:f>
      </x:c>
      <x:c r="W163" s="177" t="str">
        <x:f>IF(A163="","",IF(OR(J163="红",J163="黑",J163="走水",J163="半红",J163="半黑"),1,0))</x:f>
      </x:c>
    </x:row>
    <x:row r="164">
      <x:c r="A164" s="160"/>
      <x:c r="B164" s="160"/>
      <x:c r="C164" s="160"/>
      <x:c r="D164" s="160"/>
      <x:c r="E164" s="160"/>
      <x:c r="F164" s="160"/>
      <x:c r="G164" s="161"/>
      <x:c r="H164" s="161"/>
      <x:c r="I164" s="161"/>
      <x:c r="J164" s="161"/>
      <x:c r="K164" s="161"/>
      <x:c r="L164" s="161" t="str">
        <x:f>IF(A164="","",K164-H164)</x:f>
      </x:c>
      <x:c r="M164" s="160"/>
      <x:c r="N164" s="160"/>
      <x:c r="O164" s="160"/>
      <x:c r="P164" s="160"/>
      <x:c r="Q164" s="176" t="str">
        <x:f>IF(A164="","",SUM($L$4:L164))</x:f>
      </x:c>
      <x:c r="R164" s="176" t="str">
        <x:f>IF(A164="","",MAX(0,$Q$4:Q164))</x:f>
      </x:c>
      <x:c r="S164" s="176" t="str">
        <x:f>IF(A164="","",Q164-R164)</x:f>
      </x:c>
      <x:c r="T164" s="177"/>
      <x:c r="U164" s="177" t="str">
        <x:f>IF(A164="","",IF(J164="红",1,IF(J164="半红",0.5,IF(J164="走水","",IF(J164="半黑",0,IF(J164="黑",0,""))))))</x:f>
      </x:c>
      <x:c r="V164" s="177" t="str">
        <x:f>IF(A164="","",IF(O164="逻辑正确",1,IF(O164="局部正确",0.5,IF(O164="逻辑错误",0,""))))</x:f>
      </x:c>
      <x:c r="W164" s="177" t="str">
        <x:f>IF(A164="","",IF(OR(J164="红",J164="黑",J164="走水",J164="半红",J164="半黑"),1,0))</x:f>
      </x:c>
    </x:row>
    <x:row r="165">
      <x:c r="A165" s="160"/>
      <x:c r="B165" s="160"/>
      <x:c r="C165" s="160"/>
      <x:c r="D165" s="160"/>
      <x:c r="E165" s="160"/>
      <x:c r="F165" s="160"/>
      <x:c r="G165" s="161"/>
      <x:c r="H165" s="161"/>
      <x:c r="I165" s="161"/>
      <x:c r="J165" s="161"/>
      <x:c r="K165" s="161"/>
      <x:c r="L165" s="161" t="str">
        <x:f>IF(A165="","",K165-H165)</x:f>
      </x:c>
      <x:c r="M165" s="160"/>
      <x:c r="N165" s="160"/>
      <x:c r="O165" s="160"/>
      <x:c r="P165" s="160"/>
      <x:c r="Q165" s="176" t="str">
        <x:f>IF(A165="","",SUM($L$4:L165))</x:f>
      </x:c>
      <x:c r="R165" s="176" t="str">
        <x:f>IF(A165="","",MAX(0,$Q$4:Q165))</x:f>
      </x:c>
      <x:c r="S165" s="176" t="str">
        <x:f>IF(A165="","",Q165-R165)</x:f>
      </x:c>
      <x:c r="T165" s="177"/>
      <x:c r="U165" s="177" t="str">
        <x:f>IF(A165="","",IF(J165="红",1,IF(J165="半红",0.5,IF(J165="走水","",IF(J165="半黑",0,IF(J165="黑",0,""))))))</x:f>
      </x:c>
      <x:c r="V165" s="177" t="str">
        <x:f>IF(A165="","",IF(O165="逻辑正确",1,IF(O165="局部正确",0.5,IF(O165="逻辑错误",0,""))))</x:f>
      </x:c>
      <x:c r="W165" s="177" t="str">
        <x:f>IF(A165="","",IF(OR(J165="红",J165="黑",J165="走水",J165="半红",J165="半黑"),1,0))</x:f>
      </x:c>
    </x:row>
    <x:row r="166">
      <x:c r="A166" s="160"/>
      <x:c r="B166" s="160"/>
      <x:c r="C166" s="160"/>
      <x:c r="D166" s="160"/>
      <x:c r="E166" s="160"/>
      <x:c r="F166" s="160"/>
      <x:c r="G166" s="161"/>
      <x:c r="H166" s="161"/>
      <x:c r="I166" s="161"/>
      <x:c r="J166" s="161"/>
      <x:c r="K166" s="161"/>
      <x:c r="L166" s="161" t="str">
        <x:f>IF(A166="","",K166-H166)</x:f>
      </x:c>
      <x:c r="M166" s="160"/>
      <x:c r="N166" s="160"/>
      <x:c r="O166" s="160"/>
      <x:c r="P166" s="160"/>
      <x:c r="Q166" s="176" t="str">
        <x:f>IF(A166="","",SUM($L$4:L166))</x:f>
      </x:c>
      <x:c r="R166" s="176" t="str">
        <x:f>IF(A166="","",MAX(0,$Q$4:Q166))</x:f>
      </x:c>
      <x:c r="S166" s="176" t="str">
        <x:f>IF(A166="","",Q166-R166)</x:f>
      </x:c>
      <x:c r="T166" s="177"/>
      <x:c r="U166" s="177" t="str">
        <x:f>IF(A166="","",IF(J166="红",1,IF(J166="半红",0.5,IF(J166="走水","",IF(J166="半黑",0,IF(J166="黑",0,""))))))</x:f>
      </x:c>
      <x:c r="V166" s="177" t="str">
        <x:f>IF(A166="","",IF(O166="逻辑正确",1,IF(O166="局部正确",0.5,IF(O166="逻辑错误",0,""))))</x:f>
      </x:c>
      <x:c r="W166" s="177" t="str">
        <x:f>IF(A166="","",IF(OR(J166="红",J166="黑",J166="走水",J166="半红",J166="半黑"),1,0))</x:f>
      </x:c>
    </x:row>
    <x:row r="167">
      <x:c r="A167" s="160"/>
      <x:c r="B167" s="160"/>
      <x:c r="C167" s="160"/>
      <x:c r="D167" s="160"/>
      <x:c r="E167" s="160"/>
      <x:c r="F167" s="160"/>
      <x:c r="G167" s="161"/>
      <x:c r="H167" s="161"/>
      <x:c r="I167" s="161"/>
      <x:c r="J167" s="161"/>
      <x:c r="K167" s="161"/>
      <x:c r="L167" s="161" t="str">
        <x:f>IF(A167="","",K167-H167)</x:f>
      </x:c>
      <x:c r="M167" s="160"/>
      <x:c r="N167" s="160"/>
      <x:c r="O167" s="160"/>
      <x:c r="P167" s="160"/>
      <x:c r="Q167" s="176" t="str">
        <x:f>IF(A167="","",SUM($L$4:L167))</x:f>
      </x:c>
      <x:c r="R167" s="176" t="str">
        <x:f>IF(A167="","",MAX(0,$Q$4:Q167))</x:f>
      </x:c>
      <x:c r="S167" s="176" t="str">
        <x:f>IF(A167="","",Q167-R167)</x:f>
      </x:c>
      <x:c r="T167" s="177"/>
      <x:c r="U167" s="177" t="str">
        <x:f>IF(A167="","",IF(J167="红",1,IF(J167="半红",0.5,IF(J167="走水","",IF(J167="半黑",0,IF(J167="黑",0,""))))))</x:f>
      </x:c>
      <x:c r="V167" s="177" t="str">
        <x:f>IF(A167="","",IF(O167="逻辑正确",1,IF(O167="局部正确",0.5,IF(O167="逻辑错误",0,""))))</x:f>
      </x:c>
      <x:c r="W167" s="177" t="str">
        <x:f>IF(A167="","",IF(OR(J167="红",J167="黑",J167="走水",J167="半红",J167="半黑"),1,0))</x:f>
      </x:c>
    </x:row>
    <x:row r="168">
      <x:c r="A168" s="160"/>
      <x:c r="B168" s="160"/>
      <x:c r="C168" s="160"/>
      <x:c r="D168" s="160"/>
      <x:c r="E168" s="160"/>
      <x:c r="F168" s="160"/>
      <x:c r="G168" s="161"/>
      <x:c r="H168" s="161"/>
      <x:c r="I168" s="161"/>
      <x:c r="J168" s="161"/>
      <x:c r="K168" s="161"/>
      <x:c r="L168" s="161" t="str">
        <x:f>IF(A168="","",K168-H168)</x:f>
      </x:c>
      <x:c r="M168" s="160"/>
      <x:c r="N168" s="160"/>
      <x:c r="O168" s="160"/>
      <x:c r="P168" s="160"/>
      <x:c r="Q168" s="176" t="str">
        <x:f>IF(A168="","",SUM($L$4:L168))</x:f>
      </x:c>
      <x:c r="R168" s="176" t="str">
        <x:f>IF(A168="","",MAX(0,$Q$4:Q168))</x:f>
      </x:c>
      <x:c r="S168" s="176" t="str">
        <x:f>IF(A168="","",Q168-R168)</x:f>
      </x:c>
      <x:c r="T168" s="177"/>
      <x:c r="U168" s="177" t="str">
        <x:f>IF(A168="","",IF(J168="红",1,IF(J168="半红",0.5,IF(J168="走水","",IF(J168="半黑",0,IF(J168="黑",0,""))))))</x:f>
      </x:c>
      <x:c r="V168" s="177" t="str">
        <x:f>IF(A168="","",IF(O168="逻辑正确",1,IF(O168="局部正确",0.5,IF(O168="逻辑错误",0,""))))</x:f>
      </x:c>
      <x:c r="W168" s="177" t="str">
        <x:f>IF(A168="","",IF(OR(J168="红",J168="黑",J168="走水",J168="半红",J168="半黑"),1,0))</x:f>
      </x:c>
    </x:row>
    <x:row r="169">
      <x:c r="A169" s="160"/>
      <x:c r="B169" s="160"/>
      <x:c r="C169" s="160"/>
      <x:c r="D169" s="160"/>
      <x:c r="E169" s="160"/>
      <x:c r="F169" s="160"/>
      <x:c r="G169" s="161"/>
      <x:c r="H169" s="161"/>
      <x:c r="I169" s="161"/>
      <x:c r="J169" s="161"/>
      <x:c r="K169" s="161"/>
      <x:c r="L169" s="161" t="str">
        <x:f>IF(A169="","",K169-H169)</x:f>
      </x:c>
      <x:c r="M169" s="160"/>
      <x:c r="N169" s="160"/>
      <x:c r="O169" s="160"/>
      <x:c r="P169" s="160"/>
      <x:c r="Q169" s="176" t="str">
        <x:f>IF(A169="","",SUM($L$4:L169))</x:f>
      </x:c>
      <x:c r="R169" s="176" t="str">
        <x:f>IF(A169="","",MAX(0,$Q$4:Q169))</x:f>
      </x:c>
      <x:c r="S169" s="176" t="str">
        <x:f>IF(A169="","",Q169-R169)</x:f>
      </x:c>
      <x:c r="T169" s="177"/>
      <x:c r="U169" s="177" t="str">
        <x:f>IF(A169="","",IF(J169="红",1,IF(J169="半红",0.5,IF(J169="走水","",IF(J169="半黑",0,IF(J169="黑",0,""))))))</x:f>
      </x:c>
      <x:c r="V169" s="177" t="str">
        <x:f>IF(A169="","",IF(O169="逻辑正确",1,IF(O169="局部正确",0.5,IF(O169="逻辑错误",0,""))))</x:f>
      </x:c>
      <x:c r="W169" s="177" t="str">
        <x:f>IF(A169="","",IF(OR(J169="红",J169="黑",J169="走水",J169="半红",J169="半黑"),1,0))</x:f>
      </x:c>
    </x:row>
    <x:row r="170">
      <x:c r="A170" s="160"/>
      <x:c r="B170" s="160"/>
      <x:c r="C170" s="160"/>
      <x:c r="D170" s="160"/>
      <x:c r="E170" s="160"/>
      <x:c r="F170" s="160"/>
      <x:c r="G170" s="161"/>
      <x:c r="H170" s="161"/>
      <x:c r="I170" s="161"/>
      <x:c r="J170" s="161"/>
      <x:c r="K170" s="161"/>
      <x:c r="L170" s="161" t="str">
        <x:f>IF(A170="","",K170-H170)</x:f>
      </x:c>
      <x:c r="M170" s="160"/>
      <x:c r="N170" s="160"/>
      <x:c r="O170" s="160"/>
      <x:c r="P170" s="160"/>
      <x:c r="Q170" s="176" t="str">
        <x:f>IF(A170="","",SUM($L$4:L170))</x:f>
      </x:c>
      <x:c r="R170" s="176" t="str">
        <x:f>IF(A170="","",MAX(0,$Q$4:Q170))</x:f>
      </x:c>
      <x:c r="S170" s="176" t="str">
        <x:f>IF(A170="","",Q170-R170)</x:f>
      </x:c>
      <x:c r="T170" s="177"/>
      <x:c r="U170" s="177" t="str">
        <x:f>IF(A170="","",IF(J170="红",1,IF(J170="半红",0.5,IF(J170="走水","",IF(J170="半黑",0,IF(J170="黑",0,""))))))</x:f>
      </x:c>
      <x:c r="V170" s="177" t="str">
        <x:f>IF(A170="","",IF(O170="逻辑正确",1,IF(O170="局部正确",0.5,IF(O170="逻辑错误",0,""))))</x:f>
      </x:c>
      <x:c r="W170" s="177" t="str">
        <x:f>IF(A170="","",IF(OR(J170="红",J170="黑",J170="走水",J170="半红",J170="半黑"),1,0))</x:f>
      </x:c>
    </x:row>
    <x:row r="171">
      <x:c r="A171" s="160"/>
      <x:c r="B171" s="160"/>
      <x:c r="C171" s="160"/>
      <x:c r="D171" s="160"/>
      <x:c r="E171" s="160"/>
      <x:c r="F171" s="160"/>
      <x:c r="G171" s="161"/>
      <x:c r="H171" s="161"/>
      <x:c r="I171" s="161"/>
      <x:c r="J171" s="161"/>
      <x:c r="K171" s="161"/>
      <x:c r="L171" s="161" t="str">
        <x:f>IF(A171="","",K171-H171)</x:f>
      </x:c>
      <x:c r="M171" s="160"/>
      <x:c r="N171" s="160"/>
      <x:c r="O171" s="160"/>
      <x:c r="P171" s="160"/>
      <x:c r="Q171" s="176" t="str">
        <x:f>IF(A171="","",SUM($L$4:L171))</x:f>
      </x:c>
      <x:c r="R171" s="176" t="str">
        <x:f>IF(A171="","",MAX(0,$Q$4:Q171))</x:f>
      </x:c>
      <x:c r="S171" s="176" t="str">
        <x:f>IF(A171="","",Q171-R171)</x:f>
      </x:c>
      <x:c r="T171" s="177"/>
      <x:c r="U171" s="177" t="str">
        <x:f>IF(A171="","",IF(J171="红",1,IF(J171="半红",0.5,IF(J171="走水","",IF(J171="半黑",0,IF(J171="黑",0,""))))))</x:f>
      </x:c>
      <x:c r="V171" s="177" t="str">
        <x:f>IF(A171="","",IF(O171="逻辑正确",1,IF(O171="局部正确",0.5,IF(O171="逻辑错误",0,""))))</x:f>
      </x:c>
      <x:c r="W171" s="177" t="str">
        <x:f>IF(A171="","",IF(OR(J171="红",J171="黑",J171="走水",J171="半红",J171="半黑"),1,0))</x:f>
      </x:c>
    </x:row>
    <x:row r="172">
      <x:c r="A172" s="160"/>
      <x:c r="B172" s="160"/>
      <x:c r="C172" s="160"/>
      <x:c r="D172" s="160"/>
      <x:c r="E172" s="160"/>
      <x:c r="F172" s="160"/>
      <x:c r="G172" s="161"/>
      <x:c r="H172" s="161"/>
      <x:c r="I172" s="161"/>
      <x:c r="J172" s="161"/>
      <x:c r="K172" s="161"/>
      <x:c r="L172" s="161" t="str">
        <x:f>IF(A172="","",K172-H172)</x:f>
      </x:c>
      <x:c r="M172" s="160"/>
      <x:c r="N172" s="160"/>
      <x:c r="O172" s="160"/>
      <x:c r="P172" s="160"/>
      <x:c r="Q172" s="176" t="str">
        <x:f>IF(A172="","",SUM($L$4:L172))</x:f>
      </x:c>
      <x:c r="R172" s="176" t="str">
        <x:f>IF(A172="","",MAX(0,$Q$4:Q172))</x:f>
      </x:c>
      <x:c r="S172" s="176" t="str">
        <x:f>IF(A172="","",Q172-R172)</x:f>
      </x:c>
      <x:c r="T172" s="177"/>
      <x:c r="U172" s="177" t="str">
        <x:f>IF(A172="","",IF(J172="红",1,IF(J172="半红",0.5,IF(J172="走水","",IF(J172="半黑",0,IF(J172="黑",0,""))))))</x:f>
      </x:c>
      <x:c r="V172" s="177" t="str">
        <x:f>IF(A172="","",IF(O172="逻辑正确",1,IF(O172="局部正确",0.5,IF(O172="逻辑错误",0,""))))</x:f>
      </x:c>
      <x:c r="W172" s="177" t="str">
        <x:f>IF(A172="","",IF(OR(J172="红",J172="黑",J172="走水",J172="半红",J172="半黑"),1,0))</x:f>
      </x:c>
    </x:row>
    <x:row r="173">
      <x:c r="A173" s="160"/>
      <x:c r="B173" s="160"/>
      <x:c r="C173" s="160"/>
      <x:c r="D173" s="160"/>
      <x:c r="E173" s="160"/>
      <x:c r="F173" s="160"/>
      <x:c r="G173" s="161"/>
      <x:c r="H173" s="161"/>
      <x:c r="I173" s="161"/>
      <x:c r="J173" s="161"/>
      <x:c r="K173" s="161"/>
      <x:c r="L173" s="161" t="str">
        <x:f>IF(A173="","",K173-H173)</x:f>
      </x:c>
      <x:c r="M173" s="160"/>
      <x:c r="N173" s="160"/>
      <x:c r="O173" s="160"/>
      <x:c r="P173" s="160"/>
      <x:c r="Q173" s="176" t="str">
        <x:f>IF(A173="","",SUM($L$4:L173))</x:f>
      </x:c>
      <x:c r="R173" s="176" t="str">
        <x:f>IF(A173="","",MAX(0,$Q$4:Q173))</x:f>
      </x:c>
      <x:c r="S173" s="176" t="str">
        <x:f>IF(A173="","",Q173-R173)</x:f>
      </x:c>
      <x:c r="T173" s="177"/>
      <x:c r="U173" s="177" t="str">
        <x:f>IF(A173="","",IF(J173="红",1,IF(J173="半红",0.5,IF(J173="走水","",IF(J173="半黑",0,IF(J173="黑",0,""))))))</x:f>
      </x:c>
      <x:c r="V173" s="177" t="str">
        <x:f>IF(A173="","",IF(O173="逻辑正确",1,IF(O173="局部正确",0.5,IF(O173="逻辑错误",0,""))))</x:f>
      </x:c>
      <x:c r="W173" s="177" t="str">
        <x:f>IF(A173="","",IF(OR(J173="红",J173="黑",J173="走水",J173="半红",J173="半黑"),1,0))</x:f>
      </x:c>
    </x:row>
    <x:row r="174">
      <x:c r="A174" s="160"/>
      <x:c r="B174" s="160"/>
      <x:c r="C174" s="160"/>
      <x:c r="D174" s="160"/>
      <x:c r="E174" s="160"/>
      <x:c r="F174" s="160"/>
      <x:c r="G174" s="161"/>
      <x:c r="H174" s="161"/>
      <x:c r="I174" s="161"/>
      <x:c r="J174" s="161"/>
      <x:c r="K174" s="161"/>
      <x:c r="L174" s="161" t="str">
        <x:f>IF(A174="","",K174-H174)</x:f>
      </x:c>
      <x:c r="M174" s="160"/>
      <x:c r="N174" s="160"/>
      <x:c r="O174" s="160"/>
      <x:c r="P174" s="160"/>
      <x:c r="Q174" s="176" t="str">
        <x:f>IF(A174="","",SUM($L$4:L174))</x:f>
      </x:c>
      <x:c r="R174" s="176" t="str">
        <x:f>IF(A174="","",MAX(0,$Q$4:Q174))</x:f>
      </x:c>
      <x:c r="S174" s="176" t="str">
        <x:f>IF(A174="","",Q174-R174)</x:f>
      </x:c>
      <x:c r="T174" s="177"/>
      <x:c r="U174" s="177" t="str">
        <x:f>IF(A174="","",IF(J174="红",1,IF(J174="半红",0.5,IF(J174="走水","",IF(J174="半黑",0,IF(J174="黑",0,""))))))</x:f>
      </x:c>
      <x:c r="V174" s="177" t="str">
        <x:f>IF(A174="","",IF(O174="逻辑正确",1,IF(O174="局部正确",0.5,IF(O174="逻辑错误",0,""))))</x:f>
      </x:c>
      <x:c r="W174" s="177" t="str">
        <x:f>IF(A174="","",IF(OR(J174="红",J174="黑",J174="走水",J174="半红",J174="半黑"),1,0))</x:f>
      </x:c>
    </x:row>
    <x:row r="175">
      <x:c r="A175" s="160"/>
      <x:c r="B175" s="160"/>
      <x:c r="C175" s="160"/>
      <x:c r="D175" s="160"/>
      <x:c r="E175" s="160"/>
      <x:c r="F175" s="160"/>
      <x:c r="G175" s="161"/>
      <x:c r="H175" s="161"/>
      <x:c r="I175" s="161"/>
      <x:c r="J175" s="161"/>
      <x:c r="K175" s="161"/>
      <x:c r="L175" s="161" t="str">
        <x:f>IF(A175="","",K175-H175)</x:f>
      </x:c>
      <x:c r="M175" s="160"/>
      <x:c r="N175" s="160"/>
      <x:c r="O175" s="160"/>
      <x:c r="P175" s="160"/>
      <x:c r="Q175" s="176" t="str">
        <x:f>IF(A175="","",SUM($L$4:L175))</x:f>
      </x:c>
      <x:c r="R175" s="176" t="str">
        <x:f>IF(A175="","",MAX(0,$Q$4:Q175))</x:f>
      </x:c>
      <x:c r="S175" s="176" t="str">
        <x:f>IF(A175="","",Q175-R175)</x:f>
      </x:c>
      <x:c r="T175" s="177"/>
      <x:c r="U175" s="177" t="str">
        <x:f>IF(A175="","",IF(J175="红",1,IF(J175="半红",0.5,IF(J175="走水","",IF(J175="半黑",0,IF(J175="黑",0,""))))))</x:f>
      </x:c>
      <x:c r="V175" s="177" t="str">
        <x:f>IF(A175="","",IF(O175="逻辑正确",1,IF(O175="局部正确",0.5,IF(O175="逻辑错误",0,""))))</x:f>
      </x:c>
      <x:c r="W175" s="177" t="str">
        <x:f>IF(A175="","",IF(OR(J175="红",J175="黑",J175="走水",J175="半红",J175="半黑"),1,0))</x:f>
      </x:c>
    </x:row>
    <x:row r="176">
      <x:c r="A176" s="160"/>
      <x:c r="B176" s="160"/>
      <x:c r="C176" s="160"/>
      <x:c r="D176" s="160"/>
      <x:c r="E176" s="160"/>
      <x:c r="F176" s="160"/>
      <x:c r="G176" s="161"/>
      <x:c r="H176" s="161"/>
      <x:c r="I176" s="161"/>
      <x:c r="J176" s="161"/>
      <x:c r="K176" s="161"/>
      <x:c r="L176" s="161" t="str">
        <x:f>IF(A176="","",K176-H176)</x:f>
      </x:c>
      <x:c r="M176" s="160"/>
      <x:c r="N176" s="160"/>
      <x:c r="O176" s="160"/>
      <x:c r="P176" s="160"/>
      <x:c r="Q176" s="176" t="str">
        <x:f>IF(A176="","",SUM($L$4:L176))</x:f>
      </x:c>
      <x:c r="R176" s="176" t="str">
        <x:f>IF(A176="","",MAX(0,$Q$4:Q176))</x:f>
      </x:c>
      <x:c r="S176" s="176" t="str">
        <x:f>IF(A176="","",Q176-R176)</x:f>
      </x:c>
      <x:c r="T176" s="177"/>
      <x:c r="U176" s="177" t="str">
        <x:f>IF(A176="","",IF(J176="红",1,IF(J176="半红",0.5,IF(J176="走水","",IF(J176="半黑",0,IF(J176="黑",0,""))))))</x:f>
      </x:c>
      <x:c r="V176" s="177" t="str">
        <x:f>IF(A176="","",IF(O176="逻辑正确",1,IF(O176="局部正确",0.5,IF(O176="逻辑错误",0,""))))</x:f>
      </x:c>
      <x:c r="W176" s="177" t="str">
        <x:f>IF(A176="","",IF(OR(J176="红",J176="黑",J176="走水",J176="半红",J176="半黑"),1,0))</x:f>
      </x:c>
    </x:row>
    <x:row r="177">
      <x:c r="A177" s="160"/>
      <x:c r="B177" s="160"/>
      <x:c r="C177" s="160"/>
      <x:c r="D177" s="160"/>
      <x:c r="E177" s="160"/>
      <x:c r="F177" s="160"/>
      <x:c r="G177" s="161"/>
      <x:c r="H177" s="161"/>
      <x:c r="I177" s="161"/>
      <x:c r="J177" s="161"/>
      <x:c r="K177" s="161"/>
      <x:c r="L177" s="161" t="str">
        <x:f>IF(A177="","",K177-H177)</x:f>
      </x:c>
      <x:c r="M177" s="160"/>
      <x:c r="N177" s="160"/>
      <x:c r="O177" s="160"/>
      <x:c r="P177" s="160"/>
      <x:c r="Q177" s="176" t="str">
        <x:f>IF(A177="","",SUM($L$4:L177))</x:f>
      </x:c>
      <x:c r="R177" s="176" t="str">
        <x:f>IF(A177="","",MAX(0,$Q$4:Q177))</x:f>
      </x:c>
      <x:c r="S177" s="176" t="str">
        <x:f>IF(A177="","",Q177-R177)</x:f>
      </x:c>
      <x:c r="T177" s="177"/>
      <x:c r="U177" s="177" t="str">
        <x:f>IF(A177="","",IF(J177="红",1,IF(J177="半红",0.5,IF(J177="走水","",IF(J177="半黑",0,IF(J177="黑",0,""))))))</x:f>
      </x:c>
      <x:c r="V177" s="177" t="str">
        <x:f>IF(A177="","",IF(O177="逻辑正确",1,IF(O177="局部正确",0.5,IF(O177="逻辑错误",0,""))))</x:f>
      </x:c>
      <x:c r="W177" s="177" t="str">
        <x:f>IF(A177="","",IF(OR(J177="红",J177="黑",J177="走水",J177="半红",J177="半黑"),1,0))</x:f>
      </x:c>
    </x:row>
    <x:row r="178">
      <x:c r="A178" s="160"/>
      <x:c r="B178" s="160"/>
      <x:c r="C178" s="160"/>
      <x:c r="D178" s="160"/>
      <x:c r="E178" s="160"/>
      <x:c r="F178" s="160"/>
      <x:c r="G178" s="161"/>
      <x:c r="H178" s="161"/>
      <x:c r="I178" s="161"/>
      <x:c r="J178" s="161"/>
      <x:c r="K178" s="161"/>
      <x:c r="L178" s="161" t="str">
        <x:f>IF(A178="","",K178-H178)</x:f>
      </x:c>
      <x:c r="M178" s="160"/>
      <x:c r="N178" s="160"/>
      <x:c r="O178" s="160"/>
      <x:c r="P178" s="160"/>
      <x:c r="Q178" s="176" t="str">
        <x:f>IF(A178="","",SUM($L$4:L178))</x:f>
      </x:c>
      <x:c r="R178" s="176" t="str">
        <x:f>IF(A178="","",MAX(0,$Q$4:Q178))</x:f>
      </x:c>
      <x:c r="S178" s="176" t="str">
        <x:f>IF(A178="","",Q178-R178)</x:f>
      </x:c>
      <x:c r="T178" s="177"/>
      <x:c r="U178" s="177" t="str">
        <x:f>IF(A178="","",IF(J178="红",1,IF(J178="半红",0.5,IF(J178="走水","",IF(J178="半黑",0,IF(J178="黑",0,""))))))</x:f>
      </x:c>
      <x:c r="V178" s="177" t="str">
        <x:f>IF(A178="","",IF(O178="逻辑正确",1,IF(O178="局部正确",0.5,IF(O178="逻辑错误",0,""))))</x:f>
      </x:c>
      <x:c r="W178" s="177" t="str">
        <x:f>IF(A178="","",IF(OR(J178="红",J178="黑",J178="走水",J178="半红",J178="半黑"),1,0))</x:f>
      </x:c>
    </x:row>
    <x:row r="179">
      <x:c r="A179" s="160"/>
      <x:c r="B179" s="160"/>
      <x:c r="C179" s="160"/>
      <x:c r="D179" s="160"/>
      <x:c r="E179" s="160"/>
      <x:c r="F179" s="160"/>
      <x:c r="G179" s="161"/>
      <x:c r="H179" s="161"/>
      <x:c r="I179" s="161"/>
      <x:c r="J179" s="161"/>
      <x:c r="K179" s="161"/>
      <x:c r="L179" s="161" t="str">
        <x:f>IF(A179="","",K179-H179)</x:f>
      </x:c>
      <x:c r="M179" s="160"/>
      <x:c r="N179" s="160"/>
      <x:c r="O179" s="160"/>
      <x:c r="P179" s="160"/>
      <x:c r="Q179" s="176" t="str">
        <x:f>IF(A179="","",SUM($L$4:L179))</x:f>
      </x:c>
      <x:c r="R179" s="176" t="str">
        <x:f>IF(A179="","",MAX(0,$Q$4:Q179))</x:f>
      </x:c>
      <x:c r="S179" s="176" t="str">
        <x:f>IF(A179="","",Q179-R179)</x:f>
      </x:c>
      <x:c r="T179" s="177"/>
      <x:c r="U179" s="177" t="str">
        <x:f>IF(A179="","",IF(J179="红",1,IF(J179="半红",0.5,IF(J179="走水","",IF(J179="半黑",0,IF(J179="黑",0,""))))))</x:f>
      </x:c>
      <x:c r="V179" s="177" t="str">
        <x:f>IF(A179="","",IF(O179="逻辑正确",1,IF(O179="局部正确",0.5,IF(O179="逻辑错误",0,""))))</x:f>
      </x:c>
      <x:c r="W179" s="177" t="str">
        <x:f>IF(A179="","",IF(OR(J179="红",J179="黑",J179="走水",J179="半红",J179="半黑"),1,0))</x:f>
      </x:c>
    </x:row>
    <x:row r="180">
      <x:c r="A180" s="160"/>
      <x:c r="B180" s="160"/>
      <x:c r="C180" s="160"/>
      <x:c r="D180" s="160"/>
      <x:c r="E180" s="160"/>
      <x:c r="F180" s="160"/>
      <x:c r="G180" s="161"/>
      <x:c r="H180" s="161"/>
      <x:c r="I180" s="161"/>
      <x:c r="J180" s="161"/>
      <x:c r="K180" s="161"/>
      <x:c r="L180" s="161" t="str">
        <x:f>IF(A180="","",K180-H180)</x:f>
      </x:c>
      <x:c r="M180" s="160"/>
      <x:c r="N180" s="160"/>
      <x:c r="O180" s="160"/>
      <x:c r="P180" s="160"/>
      <x:c r="Q180" s="176" t="str">
        <x:f>IF(A180="","",SUM($L$4:L180))</x:f>
      </x:c>
      <x:c r="R180" s="176" t="str">
        <x:f>IF(A180="","",MAX(0,$Q$4:Q180))</x:f>
      </x:c>
      <x:c r="S180" s="176" t="str">
        <x:f>IF(A180="","",Q180-R180)</x:f>
      </x:c>
      <x:c r="T180" s="177"/>
      <x:c r="U180" s="177" t="str">
        <x:f>IF(A180="","",IF(J180="红",1,IF(J180="半红",0.5,IF(J180="走水","",IF(J180="半黑",0,IF(J180="黑",0,""))))))</x:f>
      </x:c>
      <x:c r="V180" s="177" t="str">
        <x:f>IF(A180="","",IF(O180="逻辑正确",1,IF(O180="局部正确",0.5,IF(O180="逻辑错误",0,""))))</x:f>
      </x:c>
      <x:c r="W180" s="177" t="str">
        <x:f>IF(A180="","",IF(OR(J180="红",J180="黑",J180="走水",J180="半红",J180="半黑"),1,0))</x:f>
      </x:c>
    </x:row>
    <x:row r="181">
      <x:c r="A181" s="160"/>
      <x:c r="B181" s="160"/>
      <x:c r="C181" s="160"/>
      <x:c r="D181" s="160"/>
      <x:c r="E181" s="160"/>
      <x:c r="F181" s="160"/>
      <x:c r="G181" s="161"/>
      <x:c r="H181" s="161"/>
      <x:c r="I181" s="161"/>
      <x:c r="J181" s="161"/>
      <x:c r="K181" s="161"/>
      <x:c r="L181" s="161" t="str">
        <x:f>IF(A181="","",K181-H181)</x:f>
      </x:c>
      <x:c r="M181" s="160"/>
      <x:c r="N181" s="160"/>
      <x:c r="O181" s="160"/>
      <x:c r="P181" s="160"/>
      <x:c r="Q181" s="176" t="str">
        <x:f>IF(A181="","",SUM($L$4:L181))</x:f>
      </x:c>
      <x:c r="R181" s="176" t="str">
        <x:f>IF(A181="","",MAX(0,$Q$4:Q181))</x:f>
      </x:c>
      <x:c r="S181" s="176" t="str">
        <x:f>IF(A181="","",Q181-R181)</x:f>
      </x:c>
      <x:c r="T181" s="177"/>
      <x:c r="U181" s="177" t="str">
        <x:f>IF(A181="","",IF(J181="红",1,IF(J181="半红",0.5,IF(J181="走水","",IF(J181="半黑",0,IF(J181="黑",0,""))))))</x:f>
      </x:c>
      <x:c r="V181" s="177" t="str">
        <x:f>IF(A181="","",IF(O181="逻辑正确",1,IF(O181="局部正确",0.5,IF(O181="逻辑错误",0,""))))</x:f>
      </x:c>
      <x:c r="W181" s="177" t="str">
        <x:f>IF(A181="","",IF(OR(J181="红",J181="黑",J181="走水",J181="半红",J181="半黑"),1,0))</x:f>
      </x:c>
    </x:row>
    <x:row r="182">
      <x:c r="A182" s="160"/>
      <x:c r="B182" s="160"/>
      <x:c r="C182" s="160"/>
      <x:c r="D182" s="160"/>
      <x:c r="E182" s="160"/>
      <x:c r="F182" s="160"/>
      <x:c r="G182" s="161"/>
      <x:c r="H182" s="161"/>
      <x:c r="I182" s="161"/>
      <x:c r="J182" s="161"/>
      <x:c r="K182" s="161"/>
      <x:c r="L182" s="161" t="str">
        <x:f>IF(A182="","",K182-H182)</x:f>
      </x:c>
      <x:c r="M182" s="160"/>
      <x:c r="N182" s="160"/>
      <x:c r="O182" s="160"/>
      <x:c r="P182" s="160"/>
      <x:c r="Q182" s="176" t="str">
        <x:f>IF(A182="","",SUM($L$4:L182))</x:f>
      </x:c>
      <x:c r="R182" s="176" t="str">
        <x:f>IF(A182="","",MAX(0,$Q$4:Q182))</x:f>
      </x:c>
      <x:c r="S182" s="176" t="str">
        <x:f>IF(A182="","",Q182-R182)</x:f>
      </x:c>
      <x:c r="T182" s="177"/>
      <x:c r="U182" s="177" t="str">
        <x:f>IF(A182="","",IF(J182="红",1,IF(J182="半红",0.5,IF(J182="走水","",IF(J182="半黑",0,IF(J182="黑",0,""))))))</x:f>
      </x:c>
      <x:c r="V182" s="177" t="str">
        <x:f>IF(A182="","",IF(O182="逻辑正确",1,IF(O182="局部正确",0.5,IF(O182="逻辑错误",0,""))))</x:f>
      </x:c>
      <x:c r="W182" s="177" t="str">
        <x:f>IF(A182="","",IF(OR(J182="红",J182="黑",J182="走水",J182="半红",J182="半黑"),1,0))</x:f>
      </x:c>
    </x:row>
    <x:row r="183">
      <x:c r="A183" s="160"/>
      <x:c r="B183" s="160"/>
      <x:c r="C183" s="160"/>
      <x:c r="D183" s="160"/>
      <x:c r="E183" s="160"/>
      <x:c r="F183" s="160"/>
      <x:c r="G183" s="161"/>
      <x:c r="H183" s="161"/>
      <x:c r="I183" s="161"/>
      <x:c r="J183" s="161"/>
      <x:c r="K183" s="161"/>
      <x:c r="L183" s="161" t="str">
        <x:f>IF(A183="","",K183-H183)</x:f>
      </x:c>
      <x:c r="M183" s="160"/>
      <x:c r="N183" s="160"/>
      <x:c r="O183" s="160"/>
      <x:c r="P183" s="160"/>
      <x:c r="Q183" s="176" t="str">
        <x:f>IF(A183="","",SUM($L$4:L183))</x:f>
      </x:c>
      <x:c r="R183" s="176" t="str">
        <x:f>IF(A183="","",MAX(0,$Q$4:Q183))</x:f>
      </x:c>
      <x:c r="S183" s="176" t="str">
        <x:f>IF(A183="","",Q183-R183)</x:f>
      </x:c>
      <x:c r="T183" s="177"/>
      <x:c r="U183" s="177" t="str">
        <x:f>IF(A183="","",IF(J183="红",1,IF(J183="半红",0.5,IF(J183="走水","",IF(J183="半黑",0,IF(J183="黑",0,""))))))</x:f>
      </x:c>
      <x:c r="V183" s="177" t="str">
        <x:f>IF(A183="","",IF(O183="逻辑正确",1,IF(O183="局部正确",0.5,IF(O183="逻辑错误",0,""))))</x:f>
      </x:c>
      <x:c r="W183" s="177" t="str">
        <x:f>IF(A183="","",IF(OR(J183="红",J183="黑",J183="走水",J183="半红",J183="半黑"),1,0))</x:f>
      </x:c>
    </x:row>
    <x:row r="184">
      <x:c r="A184" s="160"/>
      <x:c r="B184" s="160"/>
      <x:c r="C184" s="160"/>
      <x:c r="D184" s="160"/>
      <x:c r="E184" s="160"/>
      <x:c r="F184" s="160"/>
      <x:c r="G184" s="161"/>
      <x:c r="H184" s="161"/>
      <x:c r="I184" s="161"/>
      <x:c r="J184" s="161"/>
      <x:c r="K184" s="161"/>
      <x:c r="L184" s="161" t="str">
        <x:f>IF(A184="","",K184-H184)</x:f>
      </x:c>
      <x:c r="M184" s="160"/>
      <x:c r="N184" s="160"/>
      <x:c r="O184" s="160"/>
      <x:c r="P184" s="160"/>
      <x:c r="Q184" s="176" t="str">
        <x:f>IF(A184="","",SUM($L$4:L184))</x:f>
      </x:c>
      <x:c r="R184" s="176" t="str">
        <x:f>IF(A184="","",MAX(0,$Q$4:Q184))</x:f>
      </x:c>
      <x:c r="S184" s="176" t="str">
        <x:f>IF(A184="","",Q184-R184)</x:f>
      </x:c>
      <x:c r="T184" s="177"/>
      <x:c r="U184" s="177" t="str">
        <x:f>IF(A184="","",IF(J184="红",1,IF(J184="半红",0.5,IF(J184="走水","",IF(J184="半黑",0,IF(J184="黑",0,""))))))</x:f>
      </x:c>
      <x:c r="V184" s="177" t="str">
        <x:f>IF(A184="","",IF(O184="逻辑正确",1,IF(O184="局部正确",0.5,IF(O184="逻辑错误",0,""))))</x:f>
      </x:c>
      <x:c r="W184" s="177" t="str">
        <x:f>IF(A184="","",IF(OR(J184="红",J184="黑",J184="走水",J184="半红",J184="半黑"),1,0))</x:f>
      </x:c>
    </x:row>
    <x:row r="185">
      <x:c r="A185" s="160"/>
      <x:c r="B185" s="160"/>
      <x:c r="C185" s="160"/>
      <x:c r="D185" s="160"/>
      <x:c r="E185" s="160"/>
      <x:c r="F185" s="160"/>
      <x:c r="G185" s="161"/>
      <x:c r="H185" s="161"/>
      <x:c r="I185" s="161"/>
      <x:c r="J185" s="161"/>
      <x:c r="K185" s="161"/>
      <x:c r="L185" s="161" t="str">
        <x:f>IF(A185="","",K185-H185)</x:f>
      </x:c>
      <x:c r="M185" s="160"/>
      <x:c r="N185" s="160"/>
      <x:c r="O185" s="160"/>
      <x:c r="P185" s="160"/>
      <x:c r="Q185" s="176" t="str">
        <x:f>IF(A185="","",SUM($L$4:L185))</x:f>
      </x:c>
      <x:c r="R185" s="176" t="str">
        <x:f>IF(A185="","",MAX(0,$Q$4:Q185))</x:f>
      </x:c>
      <x:c r="S185" s="176" t="str">
        <x:f>IF(A185="","",Q185-R185)</x:f>
      </x:c>
      <x:c r="T185" s="177"/>
      <x:c r="U185" s="177" t="str">
        <x:f>IF(A185="","",IF(J185="红",1,IF(J185="半红",0.5,IF(J185="走水","",IF(J185="半黑",0,IF(J185="黑",0,""))))))</x:f>
      </x:c>
      <x:c r="V185" s="177" t="str">
        <x:f>IF(A185="","",IF(O185="逻辑正确",1,IF(O185="局部正确",0.5,IF(O185="逻辑错误",0,""))))</x:f>
      </x:c>
      <x:c r="W185" s="177" t="str">
        <x:f>IF(A185="","",IF(OR(J185="红",J185="黑",J185="走水",J185="半红",J185="半黑"),1,0))</x:f>
      </x:c>
    </x:row>
    <x:row r="186">
      <x:c r="A186" s="160"/>
      <x:c r="B186" s="160"/>
      <x:c r="C186" s="160"/>
      <x:c r="D186" s="160"/>
      <x:c r="E186" s="160"/>
      <x:c r="F186" s="160"/>
      <x:c r="G186" s="161"/>
      <x:c r="H186" s="161"/>
      <x:c r="I186" s="161"/>
      <x:c r="J186" s="161"/>
      <x:c r="K186" s="161"/>
      <x:c r="L186" s="161" t="str">
        <x:f>IF(A186="","",K186-H186)</x:f>
      </x:c>
      <x:c r="M186" s="160"/>
      <x:c r="N186" s="160"/>
      <x:c r="O186" s="160"/>
      <x:c r="P186" s="160"/>
      <x:c r="Q186" s="176" t="str">
        <x:f>IF(A186="","",SUM($L$4:L186))</x:f>
      </x:c>
      <x:c r="R186" s="176" t="str">
        <x:f>IF(A186="","",MAX(0,$Q$4:Q186))</x:f>
      </x:c>
      <x:c r="S186" s="176" t="str">
        <x:f>IF(A186="","",Q186-R186)</x:f>
      </x:c>
      <x:c r="T186" s="177"/>
      <x:c r="U186" s="177" t="str">
        <x:f>IF(A186="","",IF(J186="红",1,IF(J186="半红",0.5,IF(J186="走水","",IF(J186="半黑",0,IF(J186="黑",0,""))))))</x:f>
      </x:c>
      <x:c r="V186" s="177" t="str">
        <x:f>IF(A186="","",IF(O186="逻辑正确",1,IF(O186="局部正确",0.5,IF(O186="逻辑错误",0,""))))</x:f>
      </x:c>
      <x:c r="W186" s="177" t="str">
        <x:f>IF(A186="","",IF(OR(J186="红",J186="黑",J186="走水",J186="半红",J186="半黑"),1,0))</x:f>
      </x:c>
    </x:row>
    <x:row r="187">
      <x:c r="A187" s="160"/>
      <x:c r="B187" s="160"/>
      <x:c r="C187" s="160"/>
      <x:c r="D187" s="160"/>
      <x:c r="E187" s="160"/>
      <x:c r="F187" s="160"/>
      <x:c r="G187" s="161"/>
      <x:c r="H187" s="161"/>
      <x:c r="I187" s="161"/>
      <x:c r="J187" s="161"/>
      <x:c r="K187" s="161"/>
      <x:c r="L187" s="161" t="str">
        <x:f>IF(A187="","",K187-H187)</x:f>
      </x:c>
      <x:c r="M187" s="160"/>
      <x:c r="N187" s="160"/>
      <x:c r="O187" s="160"/>
      <x:c r="P187" s="160"/>
      <x:c r="Q187" s="176" t="str">
        <x:f>IF(A187="","",SUM($L$4:L187))</x:f>
      </x:c>
      <x:c r="R187" s="176" t="str">
        <x:f>IF(A187="","",MAX(0,$Q$4:Q187))</x:f>
      </x:c>
      <x:c r="S187" s="176" t="str">
        <x:f>IF(A187="","",Q187-R187)</x:f>
      </x:c>
      <x:c r="T187" s="177"/>
      <x:c r="U187" s="177" t="str">
        <x:f>IF(A187="","",IF(J187="红",1,IF(J187="半红",0.5,IF(J187="走水","",IF(J187="半黑",0,IF(J187="黑",0,""))))))</x:f>
      </x:c>
      <x:c r="V187" s="177" t="str">
        <x:f>IF(A187="","",IF(O187="逻辑正确",1,IF(O187="局部正确",0.5,IF(O187="逻辑错误",0,""))))</x:f>
      </x:c>
      <x:c r="W187" s="177" t="str">
        <x:f>IF(A187="","",IF(OR(J187="红",J187="黑",J187="走水",J187="半红",J187="半黑"),1,0))</x:f>
      </x:c>
    </x:row>
    <x:row r="188">
      <x:c r="A188" s="160"/>
      <x:c r="B188" s="160"/>
      <x:c r="C188" s="160"/>
      <x:c r="D188" s="160"/>
      <x:c r="E188" s="160"/>
      <x:c r="F188" s="160"/>
      <x:c r="G188" s="161"/>
      <x:c r="H188" s="161"/>
      <x:c r="I188" s="161"/>
      <x:c r="J188" s="161"/>
      <x:c r="K188" s="161"/>
      <x:c r="L188" s="161" t="str">
        <x:f>IF(A188="","",K188-H188)</x:f>
      </x:c>
      <x:c r="M188" s="160"/>
      <x:c r="N188" s="160"/>
      <x:c r="O188" s="160"/>
      <x:c r="P188" s="160"/>
      <x:c r="Q188" s="176" t="str">
        <x:f>IF(A188="","",SUM($L$4:L188))</x:f>
      </x:c>
      <x:c r="R188" s="176" t="str">
        <x:f>IF(A188="","",MAX(0,$Q$4:Q188))</x:f>
      </x:c>
      <x:c r="S188" s="176" t="str">
        <x:f>IF(A188="","",Q188-R188)</x:f>
      </x:c>
      <x:c r="T188" s="177"/>
      <x:c r="U188" s="177" t="str">
        <x:f>IF(A188="","",IF(J188="红",1,IF(J188="半红",0.5,IF(J188="走水","",IF(J188="半黑",0,IF(J188="黑",0,""))))))</x:f>
      </x:c>
      <x:c r="V188" s="177" t="str">
        <x:f>IF(A188="","",IF(O188="逻辑正确",1,IF(O188="局部正确",0.5,IF(O188="逻辑错误",0,""))))</x:f>
      </x:c>
      <x:c r="W188" s="177" t="str">
        <x:f>IF(A188="","",IF(OR(J188="红",J188="黑",J188="走水",J188="半红",J188="半黑"),1,0))</x:f>
      </x:c>
    </x:row>
    <x:row r="189">
      <x:c r="A189" s="160"/>
      <x:c r="B189" s="160"/>
      <x:c r="C189" s="160"/>
      <x:c r="D189" s="160"/>
      <x:c r="E189" s="160"/>
      <x:c r="F189" s="160"/>
      <x:c r="G189" s="161"/>
      <x:c r="H189" s="161"/>
      <x:c r="I189" s="161"/>
      <x:c r="J189" s="161"/>
      <x:c r="K189" s="161"/>
      <x:c r="L189" s="161" t="str">
        <x:f>IF(A189="","",K189-H189)</x:f>
      </x:c>
      <x:c r="M189" s="160"/>
      <x:c r="N189" s="160"/>
      <x:c r="O189" s="160"/>
      <x:c r="P189" s="160"/>
      <x:c r="Q189" s="176" t="str">
        <x:f>IF(A189="","",SUM($L$4:L189))</x:f>
      </x:c>
      <x:c r="R189" s="176" t="str">
        <x:f>IF(A189="","",MAX(0,$Q$4:Q189))</x:f>
      </x:c>
      <x:c r="S189" s="176" t="str">
        <x:f>IF(A189="","",Q189-R189)</x:f>
      </x:c>
      <x:c r="T189" s="177"/>
      <x:c r="U189" s="177" t="str">
        <x:f>IF(A189="","",IF(J189="红",1,IF(J189="半红",0.5,IF(J189="走水","",IF(J189="半黑",0,IF(J189="黑",0,""))))))</x:f>
      </x:c>
      <x:c r="V189" s="177" t="str">
        <x:f>IF(A189="","",IF(O189="逻辑正确",1,IF(O189="局部正确",0.5,IF(O189="逻辑错误",0,""))))</x:f>
      </x:c>
      <x:c r="W189" s="177" t="str">
        <x:f>IF(A189="","",IF(OR(J189="红",J189="黑",J189="走水",J189="半红",J189="半黑"),1,0))</x:f>
      </x:c>
    </x:row>
    <x:row r="190">
      <x:c r="A190" s="160"/>
      <x:c r="B190" s="160"/>
      <x:c r="C190" s="160"/>
      <x:c r="D190" s="160"/>
      <x:c r="E190" s="160"/>
      <x:c r="F190" s="160"/>
      <x:c r="G190" s="161"/>
      <x:c r="H190" s="161"/>
      <x:c r="I190" s="161"/>
      <x:c r="J190" s="161"/>
      <x:c r="K190" s="161"/>
      <x:c r="L190" s="161" t="str">
        <x:f>IF(A190="","",K190-H190)</x:f>
      </x:c>
      <x:c r="M190" s="160"/>
      <x:c r="N190" s="160"/>
      <x:c r="O190" s="160"/>
      <x:c r="P190" s="160"/>
      <x:c r="Q190" s="176" t="str">
        <x:f>IF(A190="","",SUM($L$4:L190))</x:f>
      </x:c>
      <x:c r="R190" s="176" t="str">
        <x:f>IF(A190="","",MAX(0,$Q$4:Q190))</x:f>
      </x:c>
      <x:c r="S190" s="176" t="str">
        <x:f>IF(A190="","",Q190-R190)</x:f>
      </x:c>
      <x:c r="T190" s="177"/>
      <x:c r="U190" s="177" t="str">
        <x:f>IF(A190="","",IF(J190="红",1,IF(J190="半红",0.5,IF(J190="走水","",IF(J190="半黑",0,IF(J190="黑",0,""))))))</x:f>
      </x:c>
      <x:c r="V190" s="177" t="str">
        <x:f>IF(A190="","",IF(O190="逻辑正确",1,IF(O190="局部正确",0.5,IF(O190="逻辑错误",0,""))))</x:f>
      </x:c>
      <x:c r="W190" s="177" t="str">
        <x:f>IF(A190="","",IF(OR(J190="红",J190="黑",J190="走水",J190="半红",J190="半黑"),1,0))</x:f>
      </x:c>
    </x:row>
    <x:row r="191">
      <x:c r="A191" s="160"/>
      <x:c r="B191" s="160"/>
      <x:c r="C191" s="160"/>
      <x:c r="D191" s="160"/>
      <x:c r="E191" s="160"/>
      <x:c r="F191" s="160"/>
      <x:c r="G191" s="161"/>
      <x:c r="H191" s="161"/>
      <x:c r="I191" s="161"/>
      <x:c r="J191" s="161"/>
      <x:c r="K191" s="161"/>
      <x:c r="L191" s="161" t="str">
        <x:f>IF(A191="","",K191-H191)</x:f>
      </x:c>
      <x:c r="M191" s="160"/>
      <x:c r="N191" s="160"/>
      <x:c r="O191" s="160"/>
      <x:c r="P191" s="160"/>
      <x:c r="Q191" s="176" t="str">
        <x:f>IF(A191="","",SUM($L$4:L191))</x:f>
      </x:c>
      <x:c r="R191" s="176" t="str">
        <x:f>IF(A191="","",MAX(0,$Q$4:Q191))</x:f>
      </x:c>
      <x:c r="S191" s="176" t="str">
        <x:f>IF(A191="","",Q191-R191)</x:f>
      </x:c>
      <x:c r="T191" s="177"/>
      <x:c r="U191" s="177" t="str">
        <x:f>IF(A191="","",IF(J191="红",1,IF(J191="半红",0.5,IF(J191="走水","",IF(J191="半黑",0,IF(J191="黑",0,""))))))</x:f>
      </x:c>
      <x:c r="V191" s="177" t="str">
        <x:f>IF(A191="","",IF(O191="逻辑正确",1,IF(O191="局部正确",0.5,IF(O191="逻辑错误",0,""))))</x:f>
      </x:c>
      <x:c r="W191" s="177" t="str">
        <x:f>IF(A191="","",IF(OR(J191="红",J191="黑",J191="走水",J191="半红",J191="半黑"),1,0))</x:f>
      </x:c>
    </x:row>
    <x:row r="192">
      <x:c r="A192" s="160"/>
      <x:c r="B192" s="160"/>
      <x:c r="C192" s="160"/>
      <x:c r="D192" s="160"/>
      <x:c r="E192" s="160"/>
      <x:c r="F192" s="160"/>
      <x:c r="G192" s="161"/>
      <x:c r="H192" s="161"/>
      <x:c r="I192" s="161"/>
      <x:c r="J192" s="161"/>
      <x:c r="K192" s="161"/>
      <x:c r="L192" s="161" t="str">
        <x:f>IF(A192="","",K192-H192)</x:f>
      </x:c>
      <x:c r="M192" s="160"/>
      <x:c r="N192" s="160"/>
      <x:c r="O192" s="160"/>
      <x:c r="P192" s="160"/>
      <x:c r="Q192" s="176" t="str">
        <x:f>IF(A192="","",SUM($L$4:L192))</x:f>
      </x:c>
      <x:c r="R192" s="176" t="str">
        <x:f>IF(A192="","",MAX(0,$Q$4:Q192))</x:f>
      </x:c>
      <x:c r="S192" s="176" t="str">
        <x:f>IF(A192="","",Q192-R192)</x:f>
      </x:c>
      <x:c r="T192" s="177"/>
      <x:c r="U192" s="177" t="str">
        <x:f>IF(A192="","",IF(J192="红",1,IF(J192="半红",0.5,IF(J192="走水","",IF(J192="半黑",0,IF(J192="黑",0,""))))))</x:f>
      </x:c>
      <x:c r="V192" s="177" t="str">
        <x:f>IF(A192="","",IF(O192="逻辑正确",1,IF(O192="局部正确",0.5,IF(O192="逻辑错误",0,""))))</x:f>
      </x:c>
      <x:c r="W192" s="177" t="str">
        <x:f>IF(A192="","",IF(OR(J192="红",J192="黑",J192="走水",J192="半红",J192="半黑"),1,0))</x:f>
      </x:c>
    </x:row>
    <x:row r="193">
      <x:c r="A193" s="160"/>
      <x:c r="B193" s="160"/>
      <x:c r="C193" s="160"/>
      <x:c r="D193" s="160"/>
      <x:c r="E193" s="160"/>
      <x:c r="F193" s="160"/>
      <x:c r="G193" s="161"/>
      <x:c r="H193" s="161"/>
      <x:c r="I193" s="161"/>
      <x:c r="J193" s="161"/>
      <x:c r="K193" s="161"/>
      <x:c r="L193" s="161" t="str">
        <x:f>IF(A193="","",K193-H193)</x:f>
      </x:c>
      <x:c r="M193" s="160"/>
      <x:c r="N193" s="160"/>
      <x:c r="O193" s="160"/>
      <x:c r="P193" s="160"/>
      <x:c r="Q193" s="176" t="str">
        <x:f>IF(A193="","",SUM($L$4:L193))</x:f>
      </x:c>
      <x:c r="R193" s="176" t="str">
        <x:f>IF(A193="","",MAX(0,$Q$4:Q193))</x:f>
      </x:c>
      <x:c r="S193" s="176" t="str">
        <x:f>IF(A193="","",Q193-R193)</x:f>
      </x:c>
      <x:c r="T193" s="177"/>
      <x:c r="U193" s="177" t="str">
        <x:f>IF(A193="","",IF(J193="红",1,IF(J193="半红",0.5,IF(J193="走水","",IF(J193="半黑",0,IF(J193="黑",0,""))))))</x:f>
      </x:c>
      <x:c r="V193" s="177" t="str">
        <x:f>IF(A193="","",IF(O193="逻辑正确",1,IF(O193="局部正确",0.5,IF(O193="逻辑错误",0,""))))</x:f>
      </x:c>
      <x:c r="W193" s="177" t="str">
        <x:f>IF(A193="","",IF(OR(J193="红",J193="黑",J193="走水",J193="半红",J193="半黑"),1,0))</x:f>
      </x:c>
    </x:row>
    <x:row r="194">
      <x:c r="A194" s="160"/>
      <x:c r="B194" s="160"/>
      <x:c r="C194" s="160"/>
      <x:c r="D194" s="160"/>
      <x:c r="E194" s="160"/>
      <x:c r="F194" s="160"/>
      <x:c r="G194" s="161"/>
      <x:c r="H194" s="161"/>
      <x:c r="I194" s="161"/>
      <x:c r="J194" s="161"/>
      <x:c r="K194" s="161"/>
      <x:c r="L194" s="161" t="str">
        <x:f>IF(A194="","",K194-H194)</x:f>
      </x:c>
      <x:c r="M194" s="160"/>
      <x:c r="N194" s="160"/>
      <x:c r="O194" s="160"/>
      <x:c r="P194" s="160"/>
      <x:c r="Q194" s="176" t="str">
        <x:f>IF(A194="","",SUM($L$4:L194))</x:f>
      </x:c>
      <x:c r="R194" s="176" t="str">
        <x:f>IF(A194="","",MAX(0,$Q$4:Q194))</x:f>
      </x:c>
      <x:c r="S194" s="176" t="str">
        <x:f>IF(A194="","",Q194-R194)</x:f>
      </x:c>
      <x:c r="T194" s="177"/>
      <x:c r="U194" s="177" t="str">
        <x:f>IF(A194="","",IF(J194="红",1,IF(J194="半红",0.5,IF(J194="走水","",IF(J194="半黑",0,IF(J194="黑",0,""))))))</x:f>
      </x:c>
      <x:c r="V194" s="177" t="str">
        <x:f>IF(A194="","",IF(O194="逻辑正确",1,IF(O194="局部正确",0.5,IF(O194="逻辑错误",0,""))))</x:f>
      </x:c>
      <x:c r="W194" s="177" t="str">
        <x:f>IF(A194="","",IF(OR(J194="红",J194="黑",J194="走水",J194="半红",J194="半黑"),1,0))</x:f>
      </x:c>
    </x:row>
    <x:row r="195">
      <x:c r="A195" s="160"/>
      <x:c r="B195" s="160"/>
      <x:c r="C195" s="160"/>
      <x:c r="D195" s="160"/>
      <x:c r="E195" s="160"/>
      <x:c r="F195" s="160"/>
      <x:c r="G195" s="161"/>
      <x:c r="H195" s="161"/>
      <x:c r="I195" s="161"/>
      <x:c r="J195" s="161"/>
      <x:c r="K195" s="161"/>
      <x:c r="L195" s="161" t="str">
        <x:f>IF(A195="","",K195-H195)</x:f>
      </x:c>
      <x:c r="M195" s="160"/>
      <x:c r="N195" s="160"/>
      <x:c r="O195" s="160"/>
      <x:c r="P195" s="160"/>
      <x:c r="Q195" s="176" t="str">
        <x:f>IF(A195="","",SUM($L$4:L195))</x:f>
      </x:c>
      <x:c r="R195" s="176" t="str">
        <x:f>IF(A195="","",MAX(0,$Q$4:Q195))</x:f>
      </x:c>
      <x:c r="S195" s="176" t="str">
        <x:f>IF(A195="","",Q195-R195)</x:f>
      </x:c>
      <x:c r="T195" s="177"/>
      <x:c r="U195" s="177" t="str">
        <x:f>IF(A195="","",IF(J195="红",1,IF(J195="半红",0.5,IF(J195="走水","",IF(J195="半黑",0,IF(J195="黑",0,""))))))</x:f>
      </x:c>
      <x:c r="V195" s="177" t="str">
        <x:f>IF(A195="","",IF(O195="逻辑正确",1,IF(O195="局部正确",0.5,IF(O195="逻辑错误",0,""))))</x:f>
      </x:c>
      <x:c r="W195" s="177" t="str">
        <x:f>IF(A195="","",IF(OR(J195="红",J195="黑",J195="走水",J195="半红",J195="半黑"),1,0))</x:f>
      </x:c>
    </x:row>
    <x:row r="196">
      <x:c r="A196" s="160"/>
      <x:c r="B196" s="160"/>
      <x:c r="C196" s="160"/>
      <x:c r="D196" s="160"/>
      <x:c r="E196" s="160"/>
      <x:c r="F196" s="160"/>
      <x:c r="G196" s="161"/>
      <x:c r="H196" s="161"/>
      <x:c r="I196" s="161"/>
      <x:c r="J196" s="161"/>
      <x:c r="K196" s="161"/>
      <x:c r="L196" s="161" t="str">
        <x:f>IF(A196="","",K196-H196)</x:f>
      </x:c>
      <x:c r="M196" s="160"/>
      <x:c r="N196" s="160"/>
      <x:c r="O196" s="160"/>
      <x:c r="P196" s="160"/>
      <x:c r="Q196" s="176" t="str">
        <x:f>IF(A196="","",SUM($L$4:L196))</x:f>
      </x:c>
      <x:c r="R196" s="176" t="str">
        <x:f>IF(A196="","",MAX(0,$Q$4:Q196))</x:f>
      </x:c>
      <x:c r="S196" s="176" t="str">
        <x:f>IF(A196="","",Q196-R196)</x:f>
      </x:c>
      <x:c r="T196" s="177"/>
      <x:c r="U196" s="177" t="str">
        <x:f>IF(A196="","",IF(J196="红",1,IF(J196="半红",0.5,IF(J196="走水","",IF(J196="半黑",0,IF(J196="黑",0,""))))))</x:f>
      </x:c>
      <x:c r="V196" s="177" t="str">
        <x:f>IF(A196="","",IF(O196="逻辑正确",1,IF(O196="局部正确",0.5,IF(O196="逻辑错误",0,""))))</x:f>
      </x:c>
      <x:c r="W196" s="177" t="str">
        <x:f>IF(A196="","",IF(OR(J196="红",J196="黑",J196="走水",J196="半红",J196="半黑"),1,0))</x:f>
      </x:c>
    </x:row>
    <x:row r="197">
      <x:c r="A197" s="160"/>
      <x:c r="B197" s="160"/>
      <x:c r="C197" s="160"/>
      <x:c r="D197" s="160"/>
      <x:c r="E197" s="160"/>
      <x:c r="F197" s="160"/>
      <x:c r="G197" s="161"/>
      <x:c r="H197" s="161"/>
      <x:c r="I197" s="161"/>
      <x:c r="J197" s="161"/>
      <x:c r="K197" s="161"/>
      <x:c r="L197" s="161" t="str">
        <x:f>IF(A197="","",K197-H197)</x:f>
      </x:c>
      <x:c r="M197" s="160"/>
      <x:c r="N197" s="160"/>
      <x:c r="O197" s="160"/>
      <x:c r="P197" s="160"/>
      <x:c r="Q197" s="176" t="str">
        <x:f>IF(A197="","",SUM($L$4:L197))</x:f>
      </x:c>
      <x:c r="R197" s="176" t="str">
        <x:f>IF(A197="","",MAX(0,$Q$4:Q197))</x:f>
      </x:c>
      <x:c r="S197" s="176" t="str">
        <x:f>IF(A197="","",Q197-R197)</x:f>
      </x:c>
      <x:c r="T197" s="177"/>
      <x:c r="U197" s="177" t="str">
        <x:f>IF(A197="","",IF(J197="红",1,IF(J197="半红",0.5,IF(J197="走水","",IF(J197="半黑",0,IF(J197="黑",0,""))))))</x:f>
      </x:c>
      <x:c r="V197" s="177" t="str">
        <x:f>IF(A197="","",IF(O197="逻辑正确",1,IF(O197="局部正确",0.5,IF(O197="逻辑错误",0,""))))</x:f>
      </x:c>
      <x:c r="W197" s="177" t="str">
        <x:f>IF(A197="","",IF(OR(J197="红",J197="黑",J197="走水",J197="半红",J197="半黑"),1,0))</x:f>
      </x:c>
    </x:row>
    <x:row r="198">
      <x:c r="A198" s="160"/>
      <x:c r="B198" s="160"/>
      <x:c r="C198" s="160"/>
      <x:c r="D198" s="160"/>
      <x:c r="E198" s="160"/>
      <x:c r="F198" s="160"/>
      <x:c r="G198" s="161"/>
      <x:c r="H198" s="161"/>
      <x:c r="I198" s="161"/>
      <x:c r="J198" s="161"/>
      <x:c r="K198" s="161"/>
      <x:c r="L198" s="161" t="str">
        <x:f>IF(A198="","",K198-H198)</x:f>
      </x:c>
      <x:c r="M198" s="160"/>
      <x:c r="N198" s="160"/>
      <x:c r="O198" s="160"/>
      <x:c r="P198" s="160"/>
      <x:c r="Q198" s="176" t="str">
        <x:f>IF(A198="","",SUM($L$4:L198))</x:f>
      </x:c>
      <x:c r="R198" s="176" t="str">
        <x:f>IF(A198="","",MAX(0,$Q$4:Q198))</x:f>
      </x:c>
      <x:c r="S198" s="176" t="str">
        <x:f>IF(A198="","",Q198-R198)</x:f>
      </x:c>
      <x:c r="T198" s="177"/>
      <x:c r="U198" s="177" t="str">
        <x:f>IF(A198="","",IF(J198="红",1,IF(J198="半红",0.5,IF(J198="走水","",IF(J198="半黑",0,IF(J198="黑",0,""))))))</x:f>
      </x:c>
      <x:c r="V198" s="177" t="str">
        <x:f>IF(A198="","",IF(O198="逻辑正确",1,IF(O198="局部正确",0.5,IF(O198="逻辑错误",0,""))))</x:f>
      </x:c>
      <x:c r="W198" s="177" t="str">
        <x:f>IF(A198="","",IF(OR(J198="红",J198="黑",J198="走水",J198="半红",J198="半黑"),1,0))</x:f>
      </x:c>
    </x:row>
    <x:row r="199">
      <x:c r="A199" s="160"/>
      <x:c r="B199" s="160"/>
      <x:c r="C199" s="160"/>
      <x:c r="D199" s="160"/>
      <x:c r="E199" s="160"/>
      <x:c r="F199" s="160"/>
      <x:c r="G199" s="161"/>
      <x:c r="H199" s="161"/>
      <x:c r="I199" s="161"/>
      <x:c r="J199" s="161"/>
      <x:c r="K199" s="161"/>
      <x:c r="L199" s="161" t="str">
        <x:f>IF(A199="","",K199-H199)</x:f>
      </x:c>
      <x:c r="M199" s="160"/>
      <x:c r="N199" s="160"/>
      <x:c r="O199" s="160"/>
      <x:c r="P199" s="160"/>
      <x:c r="Q199" s="176" t="str">
        <x:f>IF(A199="","",SUM($L$4:L199))</x:f>
      </x:c>
      <x:c r="R199" s="176" t="str">
        <x:f>IF(A199="","",MAX(0,$Q$4:Q199))</x:f>
      </x:c>
      <x:c r="S199" s="176" t="str">
        <x:f>IF(A199="","",Q199-R199)</x:f>
      </x:c>
      <x:c r="T199" s="177"/>
      <x:c r="U199" s="177" t="str">
        <x:f>IF(A199="","",IF(J199="红",1,IF(J199="半红",0.5,IF(J199="走水","",IF(J199="半黑",0,IF(J199="黑",0,""))))))</x:f>
      </x:c>
      <x:c r="V199" s="177" t="str">
        <x:f>IF(A199="","",IF(O199="逻辑正确",1,IF(O199="局部正确",0.5,IF(O199="逻辑错误",0,""))))</x:f>
      </x:c>
      <x:c r="W199" s="177" t="str">
        <x:f>IF(A199="","",IF(OR(J199="红",J199="黑",J199="走水",J199="半红",J199="半黑"),1,0))</x:f>
      </x:c>
    </x:row>
    <x:row r="200">
      <x:c r="A200" s="160"/>
      <x:c r="B200" s="160"/>
      <x:c r="C200" s="160"/>
      <x:c r="D200" s="160"/>
      <x:c r="E200" s="160"/>
      <x:c r="F200" s="160"/>
      <x:c r="G200" s="161"/>
      <x:c r="H200" s="161"/>
      <x:c r="I200" s="161"/>
      <x:c r="J200" s="161"/>
      <x:c r="K200" s="161"/>
      <x:c r="L200" s="161" t="str">
        <x:f>IF(A200="","",K200-H200)</x:f>
      </x:c>
      <x:c r="M200" s="160"/>
      <x:c r="N200" s="160"/>
      <x:c r="O200" s="160"/>
      <x:c r="P200" s="160"/>
      <x:c r="Q200" s="176" t="str">
        <x:f>IF(A200="","",SUM($L$4:L200))</x:f>
      </x:c>
      <x:c r="R200" s="176" t="str">
        <x:f>IF(A200="","",MAX(0,$Q$4:Q200))</x:f>
      </x:c>
      <x:c r="S200" s="176" t="str">
        <x:f>IF(A200="","",Q200-R200)</x:f>
      </x:c>
      <x:c r="T200" s="177"/>
      <x:c r="U200" s="177" t="str">
        <x:f>IF(A200="","",IF(J200="红",1,IF(J200="半红",0.5,IF(J200="走水","",IF(J200="半黑",0,IF(J200="黑",0,""))))))</x:f>
      </x:c>
      <x:c r="V200" s="177" t="str">
        <x:f>IF(A200="","",IF(O200="逻辑正确",1,IF(O200="局部正确",0.5,IF(O200="逻辑错误",0,""))))</x:f>
      </x:c>
      <x:c r="W200" s="177" t="str">
        <x:f>IF(A200="","",IF(OR(J200="红",J200="黑",J200="走水",J200="半红",J200="半黑"),1,0))</x:f>
      </x:c>
    </x:row>
    <x:row r="201">
      <x:c r="A201" s="160"/>
      <x:c r="B201" s="160"/>
      <x:c r="C201" s="160"/>
      <x:c r="D201" s="160"/>
      <x:c r="E201" s="160"/>
      <x:c r="F201" s="160"/>
      <x:c r="G201" s="161"/>
      <x:c r="H201" s="161"/>
      <x:c r="I201" s="161"/>
      <x:c r="J201" s="161"/>
      <x:c r="K201" s="161"/>
      <x:c r="L201" s="161" t="str">
        <x:f>IF(A201="","",K201-H201)</x:f>
      </x:c>
      <x:c r="M201" s="160"/>
      <x:c r="N201" s="160"/>
      <x:c r="O201" s="160"/>
      <x:c r="P201" s="160"/>
      <x:c r="Q201" s="176" t="str">
        <x:f>IF(A201="","",SUM($L$4:L201))</x:f>
      </x:c>
      <x:c r="R201" s="176" t="str">
        <x:f>IF(A201="","",MAX(0,$Q$4:Q201))</x:f>
      </x:c>
      <x:c r="S201" s="176" t="str">
        <x:f>IF(A201="","",Q201-R201)</x:f>
      </x:c>
      <x:c r="T201" s="177"/>
      <x:c r="U201" s="177" t="str">
        <x:f>IF(A201="","",IF(J201="红",1,IF(J201="半红",0.5,IF(J201="走水","",IF(J201="半黑",0,IF(J201="黑",0,""))))))</x:f>
      </x:c>
      <x:c r="V201" s="177" t="str">
        <x:f>IF(A201="","",IF(O201="逻辑正确",1,IF(O201="局部正确",0.5,IF(O201="逻辑错误",0,""))))</x:f>
      </x:c>
      <x:c r="W201" s="177" t="str">
        <x:f>IF(A201="","",IF(OR(J201="红",J201="黑",J201="走水",J201="半红",J201="半黑"),1,0))</x:f>
      </x:c>
    </x:row>
    <x:row r="202">
      <x:c r="A202" s="160"/>
      <x:c r="B202" s="160"/>
      <x:c r="C202" s="160"/>
      <x:c r="D202" s="160"/>
      <x:c r="E202" s="160"/>
      <x:c r="F202" s="160"/>
      <x:c r="G202" s="161"/>
      <x:c r="H202" s="161"/>
      <x:c r="I202" s="161"/>
      <x:c r="J202" s="161"/>
      <x:c r="K202" s="161"/>
      <x:c r="L202" s="161" t="str">
        <x:f>IF(A202="","",K202-H202)</x:f>
      </x:c>
      <x:c r="M202" s="160"/>
      <x:c r="N202" s="160"/>
      <x:c r="O202" s="160"/>
      <x:c r="P202" s="160"/>
      <x:c r="Q202" s="176" t="str">
        <x:f>IF(A202="","",SUM($L$4:L202))</x:f>
      </x:c>
      <x:c r="R202" s="176" t="str">
        <x:f>IF(A202="","",MAX(0,$Q$4:Q202))</x:f>
      </x:c>
      <x:c r="S202" s="176" t="str">
        <x:f>IF(A202="","",Q202-R202)</x:f>
      </x:c>
      <x:c r="T202" s="177"/>
      <x:c r="U202" s="177" t="str">
        <x:f>IF(A202="","",IF(J202="红",1,IF(J202="半红",0.5,IF(J202="走水","",IF(J202="半黑",0,IF(J202="黑",0,""))))))</x:f>
      </x:c>
      <x:c r="V202" s="177" t="str">
        <x:f>IF(A202="","",IF(O202="逻辑正确",1,IF(O202="局部正确",0.5,IF(O202="逻辑错误",0,""))))</x:f>
      </x:c>
      <x:c r="W202" s="177" t="str">
        <x:f>IF(A202="","",IF(OR(J202="红",J202="黑",J202="走水",J202="半红",J202="半黑"),1,0))</x:f>
      </x:c>
    </x:row>
    <x:row r="203">
      <x:c r="A203" s="160"/>
      <x:c r="B203" s="160"/>
      <x:c r="C203" s="160"/>
      <x:c r="D203" s="160"/>
      <x:c r="E203" s="160"/>
      <x:c r="F203" s="160"/>
      <x:c r="G203" s="161"/>
      <x:c r="H203" s="161"/>
      <x:c r="I203" s="161"/>
      <x:c r="J203" s="161"/>
      <x:c r="K203" s="161"/>
      <x:c r="L203" s="161" t="str">
        <x:f>IF(A203="","",K203-H203)</x:f>
      </x:c>
      <x:c r="M203" s="160"/>
      <x:c r="N203" s="160"/>
      <x:c r="O203" s="160"/>
      <x:c r="P203" s="160"/>
      <x:c r="Q203" s="176" t="str">
        <x:f>IF(A203="","",SUM($L$4:L203))</x:f>
      </x:c>
      <x:c r="R203" s="176" t="str">
        <x:f>IF(A203="","",MAX(0,$Q$4:Q203))</x:f>
      </x:c>
      <x:c r="S203" s="176" t="str">
        <x:f>IF(A203="","",Q203-R203)</x:f>
      </x:c>
      <x:c r="T203" s="177"/>
      <x:c r="U203" s="177" t="str">
        <x:f>IF(A203="","",IF(J203="红",1,IF(J203="半红",0.5,IF(J203="走水","",IF(J203="半黑",0,IF(J203="黑",0,""))))))</x:f>
      </x:c>
      <x:c r="V203" s="177" t="str">
        <x:f>IF(A203="","",IF(O203="逻辑正确",1,IF(O203="局部正确",0.5,IF(O203="逻辑错误",0,""))))</x:f>
      </x:c>
      <x:c r="W203" s="177" t="str">
        <x:f>IF(A203="","",IF(OR(J203="红",J203="黑",J203="走水",J203="半红",J203="半黑"),1,0))</x:f>
      </x:c>
    </x:row>
  </x:sheetData>
  <x:mergeCells>
    <x:mergeCell ref="A1:W1"/>
    <x:mergeCell ref="A2:W2"/>
  </x:mergeCells>
  <x:conditionalFormatting sqref="A4:W203">
    <x:cfRule type="expression" dxfId="40" priority="15">
      <x:formula>AND($A4&lt;&gt;"",MOD(ROW(),2)=0)</x:formula>
    </x:cfRule>
  </x:conditionalFormatting>
  <x:conditionalFormatting sqref="A4:P203">
    <x:cfRule type="expression" dxfId="41" priority="16">
      <x:formula>$J4="红"</x:formula>
    </x:cfRule>
    <x:cfRule type="expression" dxfId="42" priority="17">
      <x:formula>$J4="黑"</x:formula>
    </x:cfRule>
  </x:conditionalFormatting>
  <x:conditionalFormatting sqref="J4:J203">
    <x:cfRule type="expression" dxfId="43" priority="18">
      <x:formula>J4="红"</x:formula>
    </x:cfRule>
    <x:cfRule type="expression" dxfId="44" priority="19">
      <x:formula>J4="黑"</x:formula>
    </x:cfRule>
    <x:cfRule type="expression" dxfId="45" priority="20">
      <x:formula>J4="走水"</x:formula>
    </x:cfRule>
    <x:cfRule type="expression" dxfId="46" priority="21">
      <x:formula>J4="半红"</x:formula>
    </x:cfRule>
    <x:cfRule type="expression" dxfId="47" priority="22">
      <x:formula>J4="半黑"</x:formula>
    </x:cfRule>
    <x:cfRule type="expression" dxfId="48" priority="23">
      <x:formula>J4="待结"</x:formula>
    </x:cfRule>
  </x:conditionalFormatting>
  <x:conditionalFormatting sqref="L4:L203">
    <x:cfRule type="expression" dxfId="49" priority="24">
      <x:formula>L4&gt;0</x:formula>
    </x:cfRule>
    <x:cfRule type="expression" dxfId="50" priority="25">
      <x:formula>L4&lt;0</x:formula>
    </x:cfRule>
  </x:conditionalFormatting>
  <x:conditionalFormatting sqref="M4:M203">
    <x:cfRule type="expression" dxfId="51" priority="26">
      <x:formula>LEFT(M4,1)="是"</x:formula>
    </x:cfRule>
  </x:conditionalFormatting>
  <x:conditionalFormatting sqref="N4:N203">
    <x:cfRule type="expression" dxfId="52" priority="27">
      <x:formula>N4="已冻结"</x:formula>
    </x:cfRule>
  </x:conditionalFormatting>
  <x:conditionalFormatting sqref="O4:O203">
    <x:cfRule type="expression" dxfId="53" priority="28">
      <x:formula>O4="逻辑正确"</x:formula>
    </x:cfRule>
    <x:cfRule type="expression" dxfId="54" priority="29">
      <x:formula>O4="局部正确"</x:formula>
    </x:cfRule>
    <x:cfRule type="expression" dxfId="55" priority="30">
      <x:formula>O4="逻辑错误"</x:formula>
    </x:cfRule>
  </x:conditionalFormatting>
  <x:dataValidations count="6">
    <x:dataValidation type="list" sqref="D4:D203">
      <x:formula1>"保本层,中轴层,博上层"</x:formula1>
    </x:dataValidation>
    <x:dataValidation type="list" sqref="E4:E203">
      <x:formula1>"胜平负,让球,大小球,BTTS,球队进球数,正确比分"</x:formula1>
    </x:dataValidation>
    <x:dataValidation type="list" sqref="J4:J203">
      <x:formula1>"待结,红,黑,走水,半红,半黑"</x:formula1>
    </x:dataValidation>
    <x:dataValidation type="list" sqref="N4:N203">
      <x:formula1>"已冻结,未冻结"</x:formula1>
    </x:dataValidation>
    <x:dataValidation type="list" sqref="O4:O203">
      <x:formula1>"逻辑正确,局部正确,逻辑错误,不可抗力,待定"</x:formula1>
    </x:dataValidation>
    <x:dataValidation type="list" sqref="P4:P203">
      <x:formula1>"无决定性随机事件,红牌,点球,伤病,补时绝杀,其他随机,未核到"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4787b985c547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24" hidden="0" customWidth="1"/>
    <x:col min="5" max="5" width="13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13" hidden="0" customWidth="1"/>
    <x:col min="11" max="11" width="13" hidden="0" customWidth="1"/>
    <x:col min="12" max="12" width="13" hidden="0" customWidth="1"/>
    <x:col min="13" max="13" width="24" hidden="0" customWidth="1"/>
    <x:col min="14" max="14" width="24" hidden="0" customWidth="1"/>
    <x:col min="15" max="15" width="22" hidden="0" customWidth="1"/>
    <x:col min="16" max="16" width="22" hidden="0" customWidth="1"/>
    <x:col min="17" max="17" width="22" hidden="0" customWidth="1"/>
    <x:col min="18" max="18" width="25" hidden="0" customWidth="1"/>
    <x:col min="19" max="19" width="24" hidden="0" customWidth="1"/>
    <x:col min="20" max="20" width="42" hidden="0" customWidth="1"/>
    <x:col min="21" max="21" width="12" hidden="0" customWidth="1"/>
    <x:col min="22" max="22" width="12" hidden="0" customWidth="1"/>
  </x:cols>
  <x:sheetData>
    <x:row r="1" ht="32" customHeight="1">
      <x:c r="A1" s="99" t="str">
        <x:v>02｜赛前信号与赛果归因｜区分赛果、主维度、逻辑质量与运气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</x:row>
    <x:row r="2" ht="22" customHeight="1">
      <x:c r="A2" s="103" t="str">
        <x:v>分开统计主维度、精确比分、模型逻辑与随机事件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 s="103"/>
      <x:c r="P2" s="103"/>
      <x:c r="Q2" s="103"/>
      <x:c r="R2" s="103"/>
      <x:c r="S2" s="103"/>
      <x:c r="T2" s="103"/>
      <x:c r="U2" s="103"/>
      <x:c r="V2" s="103"/>
    </x:row>
    <x:row r="3" ht="38" customHeight="1">
      <x:c r="A3" s="153" t="str">
        <x:v>MatchID</x:v>
      </x:c>
      <x:c r="B3" s="153" t="str">
        <x:v>赛事与对阵</x:v>
      </x:c>
      <x:c r="C3" s="153" t="str">
        <x:v>赛前三维交叉验证结论</x:v>
      </x:c>
      <x:c r="D3" s="153" t="str">
        <x:v>盘路性质判定</x:v>
      </x:c>
      <x:c r="E3" s="153" t="str">
        <x:v>赛前唯一首推比分</x:v>
      </x:c>
      <x:c r="F3" s="153" t="str">
        <x:v>赛前首推主维度</x:v>
      </x:c>
      <x:c r="G3" s="153" t="str">
        <x:v>赛前亚盘方向</x:v>
      </x:c>
      <x:c r="H3" s="153" t="str">
        <x:v>赛前大小球方向</x:v>
      </x:c>
      <x:c r="I3" s="153" t="str">
        <x:v>赛前BTTS判断</x:v>
      </x:c>
      <x:c r="J3" s="153" t="str">
        <x:v>实际90分钟比分</x:v>
      </x:c>
      <x:c r="K3" s="153" t="str">
        <x:v>主维度是否命中</x:v>
      </x:c>
      <x:c r="L3" s="153" t="str">
        <x:v>比分是否命中</x:v>
      </x:c>
      <x:c r="M3" s="153" t="str">
        <x:v>相邻比分污染</x:v>
      </x:c>
      <x:c r="N3" s="153" t="str">
        <x:v>冷门/右尾污染</x:v>
      </x:c>
      <x:c r="O3" s="153" t="str">
        <x:v>错点归因（单选）</x:v>
      </x:c>
      <x:c r="P3" s="153" t="str">
        <x:v>红黑与模型逻辑分类</x:v>
      </x:c>
      <x:c r="Q3" s="153" t="str">
        <x:v>随机事件剔除</x:v>
      </x:c>
      <x:c r="R3" s="153" t="str">
        <x:v>最大错点类型</x:v>
      </x:c>
      <x:c r="S3" s="153" t="str">
        <x:v>赛前最大错点</x:v>
      </x:c>
      <x:c r="T3" s="153" t="str">
        <x:v>复盘摘要</x:v>
      </x:c>
      <x:c r="U3" s="153" t="str">
        <x:v>模型有效系数</x:v>
      </x:c>
      <x:c r="V3" s="153" t="str">
        <x:v>是否有效样本</x:v>
      </x:c>
    </x:row>
    <x:row r="4" ht="54" customHeight="1">
      <x:c r="A4" s="160" t="str">
        <x:v>M001</x:v>
      </x:c>
      <x:c r="B4" s="160" t="str">
        <x:v>欧战资格赛｜卡拉巴克 vs 维斯特瑞</x:v>
      </x:c>
      <x:c r="C4" s="160" t="str">
        <x:v>两维同向一维中立</x:v>
      </x:c>
      <x:c r="D4" s="160" t="str">
        <x:v>真实大胜+深盘卡盘并存</x:v>
      </x:c>
      <x:c r="E4" s="160" t="str">
        <x:v>4-0</x:v>
      </x:c>
      <x:c r="F4" s="160" t="str">
        <x:v>正确比分/深盘观察</x:v>
      </x:c>
      <x:c r="G4" s="160" t="str">
        <x:v>卡拉巴克-3/-3.25可看，-3.5谨慎</x:v>
      </x:c>
      <x:c r="H4" s="160" t="str">
        <x:v>4球第一，3球污染</x:v>
      </x:c>
      <x:c r="I4" s="160" t="str">
        <x:v>No</x:v>
      </x:c>
      <x:c r="J4" s="160" t="str">
        <x:v>3-0</x:v>
      </x:c>
      <x:c r="K4" s="160" t="str">
        <x:v>否</x:v>
      </x:c>
      <x:c r="L4" s="160" t="str">
        <x:v>否</x:v>
      </x:c>
      <x:c r="M4" s="160" t="str">
        <x:v>是｜3-0命中赛前最大错点</x:v>
      </x:c>
      <x:c r="N4" s="160" t="str">
        <x:v>否</x:v>
      </x:c>
      <x:c r="O4" s="160" t="str">
        <x:v>模型判断错误</x:v>
      </x:c>
      <x:c r="P4" s="160" t="str">
        <x:v>未投注｜逻辑局部正确</x:v>
      </x:c>
      <x:c r="Q4" s="160" t="str">
        <x:v>否</x:v>
      </x:c>
      <x:c r="R4" s="160" t="str">
        <x:v>相邻比分污染/深盘卡盘</x:v>
      </x:c>
      <x:c r="S4" s="160" t="str">
        <x:v>3-0、5-0</x:v>
      </x:c>
      <x:c r="T4" s="160" t="str">
        <x:v>主胜与零封对，右尾给高一球；3-0应压过4-0</x:v>
      </x:c>
      <x:c r="U4" s="161" t="n">
        <x:v>0.5</x:v>
      </x:c>
      <x:c r="V4" s="160" t="n">
        <x:v>1</x:v>
      </x:c>
    </x:row>
    <x:row r="5" ht="54" customHeight="1">
      <x:c r="A5" s="160" t="str">
        <x:v>M002</x:v>
      </x:c>
      <x:c r="B5" s="160" t="str">
        <x:v>欧战资格赛｜基辅迪纳摩 vs 克卢日大学</x:v>
      </x:c>
      <x:c r="C5" s="160" t="str">
        <x:v>两维同向一维中立</x:v>
      </x:c>
      <x:c r="D5" s="160" t="str">
        <x:v>热门主胜防范不足/低比分风险</x:v>
      </x:c>
      <x:c r="E5" s="160" t="str">
        <x:v>2-0</x:v>
      </x:c>
      <x:c r="F5" s="160" t="str">
        <x:v>胜平负</x:v>
      </x:c>
      <x:c r="G5" s="160" t="str">
        <x:v>基辅-1/-1.25</x:v>
      </x:c>
      <x:c r="H5" s="160" t="str">
        <x:v>小球倾向但未压到0球</x:v>
      </x:c>
      <x:c r="I5" s="160" t="str">
        <x:v>No略优</x:v>
      </x:c>
      <x:c r="J5" s="160" t="str">
        <x:v>0-0</x:v>
      </x:c>
      <x:c r="K5" s="160" t="str">
        <x:v>否</x:v>
      </x:c>
      <x:c r="L5" s="160" t="str">
        <x:v>否</x:v>
      </x:c>
      <x:c r="M5" s="160" t="str">
        <x:v>否</x:v>
      </x:c>
      <x:c r="N5" s="160" t="str">
        <x:v>是｜0-0冷平</x:v>
      </x:c>
      <x:c r="O5" s="160" t="str">
        <x:v>模型判断错误</x:v>
      </x:c>
      <x:c r="P5" s="160" t="str">
        <x:v>黑且逻辑错</x:v>
      </x:c>
      <x:c r="Q5" s="160" t="str">
        <x:v>否</x:v>
      </x:c>
      <x:c r="R5" s="160" t="str">
        <x:v>0-0冷平/热门主胜误判</x:v>
      </x:c>
      <x:c r="S5" s="160" t="str">
        <x:v>3-0、2-1（赛前漏0-0）</x:v>
      </x:c>
      <x:c r="T5" s="160" t="str">
        <x:v>BTTS No对，但把No错误转成热门2-0；保本命门选择错误</x:v>
      </x:c>
      <x:c r="U5" s="161" t="n">
        <x:v>0</x:v>
      </x:c>
      <x:c r="V5" s="160" t="n">
        <x:v>1</x:v>
      </x:c>
    </x:row>
    <x:row r="6" ht="54" customHeight="1">
      <x:c r="A6" s="160" t="str">
        <x:v>M003</x:v>
      </x:c>
      <x:c r="B6" s="160" t="str">
        <x:v>欧战资格赛｜谢里夫 vs 亚穆尼积</x:v>
      </x:c>
      <x:c r="C6" s="160" t="str">
        <x:v>两维同向一维中立</x:v>
      </x:c>
      <x:c r="D6" s="160" t="str">
        <x:v>热门主胜防范不足/低比分风险</x:v>
      </x:c>
      <x:c r="E6" s="160" t="str">
        <x:v>2-0</x:v>
      </x:c>
      <x:c r="F6" s="160" t="str">
        <x:v>胜平负</x:v>
      </x:c>
      <x:c r="G6" s="160" t="str">
        <x:v>谢里夫-1/-1.25</x:v>
      </x:c>
      <x:c r="H6" s="160" t="str">
        <x:v>小球倾向但未压到0球</x:v>
      </x:c>
      <x:c r="I6" s="160" t="str">
        <x:v>No</x:v>
      </x:c>
      <x:c r="J6" s="160" t="str">
        <x:v>0-0</x:v>
      </x:c>
      <x:c r="K6" s="160" t="str">
        <x:v>否</x:v>
      </x:c>
      <x:c r="L6" s="160" t="str">
        <x:v>否</x:v>
      </x:c>
      <x:c r="M6" s="160" t="str">
        <x:v>否</x:v>
      </x:c>
      <x:c r="N6" s="160" t="str">
        <x:v>是｜0-0冷平</x:v>
      </x:c>
      <x:c r="O6" s="160" t="str">
        <x:v>模型判断错误</x:v>
      </x:c>
      <x:c r="P6" s="160" t="str">
        <x:v>黑且逻辑错</x:v>
      </x:c>
      <x:c r="Q6" s="160" t="str">
        <x:v>否</x:v>
      </x:c>
      <x:c r="R6" s="160" t="str">
        <x:v>0-0冷平/热门主胜误判</x:v>
      </x:c>
      <x:c r="S6" s="160" t="str">
        <x:v>3-0、2-1（赛前漏0-0）</x:v>
      </x:c>
      <x:c r="T6" s="160" t="str">
        <x:v>名气和经验被过度转成进球兑现；同场胜平负+波胆重复暴露</x:v>
      </x:c>
      <x:c r="U6" s="161" t="n">
        <x:v>0</x:v>
      </x:c>
      <x:c r="V6" s="160" t="n">
        <x:v>1</x:v>
      </x:c>
    </x:row>
    <x:row r="7" ht="54" customHeight="1">
      <x:c r="A7" s="160" t="str">
        <x:v>M004</x:v>
      </x:c>
      <x:c r="B7" s="160" t="str">
        <x:v>欧战资格赛｜索菲亚中央陆军 vs 德里城</x:v>
      </x:c>
      <x:c r="C7" s="160" t="str">
        <x:v>两维同向一维中立</x:v>
      </x:c>
      <x:c r="D7" s="160" t="str">
        <x:v>真实防主胜但零封误判</x:v>
      </x:c>
      <x:c r="E7" s="160" t="str">
        <x:v>3-0</x:v>
      </x:c>
      <x:c r="F7" s="160" t="str">
        <x:v>胜平负</x:v>
      </x:c>
      <x:c r="G7" s="160" t="str">
        <x:v>索陆军主胜；深让谨慎</x:v>
      </x:c>
      <x:c r="H7" s="160" t="str">
        <x:v>3球第一</x:v>
      </x:c>
      <x:c r="I7" s="160" t="str">
        <x:v>No略优</x:v>
      </x:c>
      <x:c r="J7" s="160" t="str">
        <x:v>3-2</x:v>
      </x:c>
      <x:c r="K7" s="160" t="str">
        <x:v>是</x:v>
      </x:c>
      <x:c r="L7" s="160" t="str">
        <x:v>否</x:v>
      </x:c>
      <x:c r="M7" s="160" t="str">
        <x:v>否</x:v>
      </x:c>
      <x:c r="N7" s="160" t="str">
        <x:v>是｜右尾5球+BTTS反向</x:v>
      </x:c>
      <x:c r="O7" s="160" t="str">
        <x:v>模型判断错误</x:v>
      </x:c>
      <x:c r="P7" s="160" t="str">
        <x:v>串关腿命中但模型逻辑部分错</x:v>
      </x:c>
      <x:c r="Q7" s="160" t="str">
        <x:v>否</x:v>
      </x:c>
      <x:c r="R7" s="160" t="str">
        <x:v>BTTS反向/右尾大比分</x:v>
      </x:c>
      <x:c r="S7" s="160" t="str">
        <x:v>2-0、2-1</x:v>
      </x:c>
      <x:c r="T7" s="160" t="str">
        <x:v>胜方向对，零封与总进球错；主胜不能自动绑定BTTS No</x:v>
      </x:c>
      <x:c r="U7" s="161" t="n">
        <x:v>0.5</x:v>
      </x:c>
      <x:c r="V7" s="160" t="n">
        <x:v>1</x:v>
      </x:c>
    </x:row>
    <x:row r="8" ht="54" customHeight="1">
      <x:c r="A8" s="160" t="str">
        <x:v>M005</x:v>
      </x:c>
      <x:c r="B8" s="160" t="str">
        <x:v>欧战资格赛｜斯普利特海杜克 vs 日利纳</x:v>
      </x:c>
      <x:c r="C8" s="160" t="str">
        <x:v>三维同向</x:v>
      </x:c>
      <x:c r="D8" s="160" t="str">
        <x:v>真实防主胜，首回合两球卡位</x:v>
      </x:c>
      <x:c r="E8" s="160" t="str">
        <x:v>3-0</x:v>
      </x:c>
      <x:c r="F8" s="160" t="str">
        <x:v>胜平负</x:v>
      </x:c>
      <x:c r="G8" s="160" t="str">
        <x:v>海杜克-1/-1.25</x:v>
      </x:c>
      <x:c r="H8" s="160" t="str">
        <x:v>3球第一，2球强污染</x:v>
      </x:c>
      <x:c r="I8" s="160" t="str">
        <x:v>No</x:v>
      </x:c>
      <x:c r="J8" s="160" t="str">
        <x:v>2-0</x:v>
      </x:c>
      <x:c r="K8" s="160" t="str">
        <x:v>是</x:v>
      </x:c>
      <x:c r="L8" s="160" t="str">
        <x:v>否</x:v>
      </x:c>
      <x:c r="M8" s="160" t="str">
        <x:v>是｜2-0命中强污染</x:v>
      </x:c>
      <x:c r="N8" s="160" t="str">
        <x:v>否</x:v>
      </x:c>
      <x:c r="O8" s="160" t="str">
        <x:v>模型判断错误</x:v>
      </x:c>
      <x:c r="P8" s="160" t="str">
        <x:v>串关腿命中且逻辑局部正确</x:v>
      </x:c>
      <x:c r="Q8" s="160" t="str">
        <x:v>否</x:v>
      </x:c>
      <x:c r="R8" s="160" t="str">
        <x:v>相邻比分污染/右尾不足</x:v>
      </x:c>
      <x:c r="S8" s="160" t="str">
        <x:v>2-0、2-1</x:v>
      </x:c>
      <x:c r="T8" s="160" t="str">
        <x:v>主胜与零封正确，唯一比分右移一球；首回合2-0应上调</x:v>
      </x:c>
      <x:c r="U8" s="161" t="n">
        <x:v>0.5</x:v>
      </x:c>
      <x:c r="V8" s="160" t="n">
        <x:v>1</x:v>
      </x:c>
    </x:row>
    <x:row r="9" ht="54" customHeight="1">
      <x:c r="A9" s="160" t="str">
        <x:v>M006</x:v>
      </x:c>
      <x:c r="B9" s="160" t="str">
        <x:v>欧战资格赛｜伏伊伏丁那 vs 费伦茨瓦罗斯</x:v>
      </x:c>
      <x:c r="C9" s="160" t="str">
        <x:v>两维同向一维中立</x:v>
      </x:c>
      <x:c r="D9" s="160" t="str">
        <x:v>客强浅盘被误读为平局保护</x:v>
      </x:c>
      <x:c r="E9" s="160" t="str">
        <x:v>1-1</x:v>
      </x:c>
      <x:c r="F9" s="160" t="str">
        <x:v>BTTS/客不败观察</x:v>
      </x:c>
      <x:c r="G9" s="160" t="str">
        <x:v>费伦茨不败；主队受让不宜重</x:v>
      </x:c>
      <x:c r="H9" s="160" t="str">
        <x:v>2球第一</x:v>
      </x:c>
      <x:c r="I9" s="160" t="str">
        <x:v>Yes</x:v>
      </x:c>
      <x:c r="J9" s="160" t="str">
        <x:v>1-2</x:v>
      </x:c>
      <x:c r="K9" s="160" t="str">
        <x:v>部分命中｜BTTS Yes/客不败</x:v>
      </x:c>
      <x:c r="L9" s="160" t="str">
        <x:v>否</x:v>
      </x:c>
      <x:c r="M9" s="160" t="str">
        <x:v>否</x:v>
      </x:c>
      <x:c r="N9" s="160" t="str">
        <x:v>是｜1-2客胜污染</x:v>
      </x:c>
      <x:c r="O9" s="160" t="str">
        <x:v>模型判断错误</x:v>
      </x:c>
      <x:c r="P9" s="160" t="str">
        <x:v>未投注｜逻辑局部正确</x:v>
      </x:c>
      <x:c r="Q9" s="160" t="str">
        <x:v>否</x:v>
      </x:c>
      <x:c r="R9" s="160" t="str">
        <x:v>客胜污染/平局模型误判</x:v>
      </x:c>
      <x:c r="S9" s="160" t="str">
        <x:v>1-2、2-1</x:v>
      </x:c>
      <x:c r="T9" s="160" t="str">
        <x:v>BTTS与客不败对，平局权重过高；浅盘不等于必平</x:v>
      </x:c>
      <x:c r="U9" s="161" t="n">
        <x:v>0.5</x:v>
      </x:c>
      <x:c r="V9" s="160" t="n">
        <x:v>1</x:v>
      </x:c>
    </x:row>
    <x:row r="10" ht="54" customHeight="1">
      <x:c r="A10" s="160" t="str">
        <x:v>M007</x:v>
      </x:c>
      <x:c r="B10" s="160" t="str">
        <x:v>世界杯｜法国 vs 摩洛哥</x:v>
      </x:c>
      <x:c r="C10" s="160" t="str">
        <x:v>三维同向</x:v>
      </x:c>
      <x:c r="D10" s="160" t="str">
        <x:v>法国优势真实+主胜过热+小球分流</x:v>
      </x:c>
      <x:c r="E10" s="160" t="str">
        <x:v>1-0</x:v>
      </x:c>
      <x:c r="F10" s="160" t="str">
        <x:v>大小球</x:v>
      </x:c>
      <x:c r="G10" s="160" t="str">
        <x:v>摩洛哥+1/法国赢不穿</x:v>
      </x:c>
      <x:c r="H10" s="160" t="str">
        <x:v>小2.5/3</x:v>
      </x:c>
      <x:c r="I10" s="160" t="str">
        <x:v>No略优</x:v>
      </x:c>
      <x:c r="J10" s="160" t="str">
        <x:v>2-0</x:v>
      </x:c>
      <x:c r="K10" s="160" t="str">
        <x:v>是</x:v>
      </x:c>
      <x:c r="L10" s="160" t="str">
        <x:v>否</x:v>
      </x:c>
      <x:c r="M10" s="160" t="str">
        <x:v>是｜2-0为高位污染</x:v>
      </x:c>
      <x:c r="N10" s="160" t="str">
        <x:v>否</x:v>
      </x:c>
      <x:c r="O10" s="160" t="str">
        <x:v>模型判断错误</x:v>
      </x:c>
      <x:c r="P10" s="160" t="str">
        <x:v>主仓红且逻辑正确；波胆黑但主线正确</x:v>
      </x:c>
      <x:c r="Q10" s="160" t="str">
        <x:v>否</x:v>
      </x:c>
      <x:c r="R10" s="160" t="str">
        <x:v>相邻比分污染/第二球效率</x:v>
      </x:c>
      <x:c r="S10" s="160" t="str">
        <x:v>1-1、0-1、2-0、0-0</x:v>
      </x:c>
      <x:c r="T10" s="160" t="str">
        <x:v>玩法选择正确，小球/BTTS No/法国方向正确；精确落点偏左</x:v>
      </x:c>
      <x:c r="U10" s="161" t="n">
        <x:v>1</x:v>
      </x:c>
      <x:c r="V10" s="160" t="n">
        <x:v>1</x:v>
      </x:c>
    </x:row>
    <x:row r="11" ht="54" customHeight="1">
      <x:c r="A11" s="249" t="str">
        <x:v>M009</x:v>
      </x:c>
      <x:c r="B11" s="249" t="str">
        <x:v>芬超｜格尼斯坦 vs 玛丽港</x:v>
      </x:c>
      <x:c r="C11" s="249" t="str">
        <x:v>三维同向但价格警报</x:v>
      </x:c>
      <x:c r="D11" s="249" t="str">
        <x:v>真实防主胜与穿盘；大球市场过热但右尾真实</x:v>
      </x:c>
      <x:c r="E11" s="249" t="str">
        <x:v>2-0</x:v>
      </x:c>
      <x:c r="F11" s="249" t="str">
        <x:v>让球</x:v>
      </x:c>
      <x:c r="G11" s="249" t="str">
        <x:v>格尼斯坦-1.5（≥1.98执行）</x:v>
      </x:c>
      <x:c r="H11" s="249" t="str">
        <x:v>不追大3/3.25</x:v>
      </x:c>
      <x:c r="I11" s="249" t="str">
        <x:v>No轻微</x:v>
      </x:c>
      <x:c r="J11" s="249" t="str">
        <x:v>4-2</x:v>
      </x:c>
      <x:c r="K11" s="249" t="str">
        <x:v>是｜净胜2球，-1.5全红</x:v>
      </x:c>
      <x:c r="L11" s="249" t="str">
        <x:v>否</x:v>
      </x:c>
      <x:c r="M11" s="249" t="str">
        <x:v>否</x:v>
      </x:c>
      <x:c r="N11" s="249" t="str">
        <x:v>是｜6球＋BTTS反向</x:v>
      </x:c>
      <x:c r="O11" s="249" t="str">
        <x:v>模型局部正确</x:v>
      </x:c>
      <x:c r="P11" s="249" t="str">
        <x:v>未投注｜主维度命中，但比分与总球逻辑错误</x:v>
      </x:c>
      <x:c r="Q11" s="249" t="str">
        <x:v>否</x:v>
      </x:c>
      <x:c r="R11" s="249" t="str">
        <x:v>BTTS反向/右尾大比分</x:v>
      </x:c>
      <x:c r="S11" s="249" t="str">
        <x:v>2-1、1-0、3-0</x:v>
      </x:c>
      <x:c r="T11" s="249" t="str">
        <x:v>主队强势盘与净胜两球判断正确；严重低估玛丽港进球及比赛右尾。</x:v>
      </x:c>
      <x:c r="U11" s="250" t="n">
        <x:v>0.5</x:v>
      </x:c>
      <x:c r="V11" s="249" t="n">
        <x:v>1</x:v>
      </x:c>
    </x:row>
    <x:row r="12">
      <x:c r="A12" s="160" t="str">
        <x:v>M010</x:v>
      </x:c>
      <x:c r="B12" s="160" t="str">
        <x:v>芬超｜TPS土尔库 vs AC奥卢</x:v>
      </x:c>
      <x:c r="C12" s="160" t="str">
        <x:v>市场与盘口同向转向TPS，大小球市场背离</x:v>
      </x:c>
      <x:c r="D12" s="160" t="str">
        <x:v>客让退平＋主胜压低真实；小2.75低水保护不足</x:v>
      </x:c>
      <x:c r="E12" s="160" t="str">
        <x:v>1-1</x:v>
      </x:c>
      <x:c r="F12" s="160" t="str">
        <x:v>大小球</x:v>
      </x:c>
      <x:c r="G12" s="160" t="str">
        <x:v>TPS平手略优但不买</x:v>
      </x:c>
      <x:c r="H12" s="160" t="str">
        <x:v>小2.5/3</x:v>
      </x:c>
      <x:c r="I12" s="160" t="str">
        <x:v>Yes轻微</x:v>
      </x:c>
      <x:c r="J12" s="160" t="str">
        <x:v>3-0</x:v>
      </x:c>
      <x:c r="K12" s="160" t="str">
        <x:v>否｜恰好3球，小2.75半黑</x:v>
      </x:c>
      <x:c r="L12" s="160" t="str">
        <x:v>否</x:v>
      </x:c>
      <x:c r="M12" s="160" t="str">
        <x:v>否</x:v>
      </x:c>
      <x:c r="N12" s="160" t="str">
        <x:v>是｜主队零封三球</x:v>
      </x:c>
      <x:c r="O12" s="160" t="str">
        <x:v>模型判断错误</x:v>
      </x:c>
      <x:c r="P12" s="160" t="str">
        <x:v>未投注｜候选未锁，避免半黑</x:v>
      </x:c>
      <x:c r="Q12" s="160" t="str">
        <x:v>否</x:v>
      </x:c>
      <x:c r="R12" s="160" t="str">
        <x:v>主队进球数低估/零封反向/3球边界</x:v>
      </x:c>
      <x:c r="S12" s="160" t="str">
        <x:v>2-1、1-0、0-1</x:v>
      </x:c>
      <x:c r="T12" s="160" t="str">
        <x:v>市场完整翻转至TPS已被识别，却未充分进入主队进球λ；错误把升档后小球低水解释为主要保护。</x:v>
      </x:c>
      <x:c r="U12" s="161" t="n">
        <x:v>0.25</x:v>
      </x:c>
      <x:c r="V12" s="160" t="n">
        <x:v>1</x:v>
      </x:c>
    </x:row>
    <x:row r="13">
      <x:c r="A13" s="160" t="str">
        <x:v>M011</x:v>
      </x:c>
      <x:c r="B13" s="160" t="str">
        <x:v>挪超｜奥勒松 vs 莫尔德</x:v>
      </x:c>
      <x:c r="C13" s="160" t="str">
        <x:v>足球维度偏莫尔德，交易维度平局强警报</x:v>
      </x:c>
      <x:c r="D13" s="160" t="str">
        <x:v>客胜保护真实但平局成交异常；高总球线持续压小</x:v>
      </x:c>
      <x:c r="E13" s="160" t="str">
        <x:v>1-2</x:v>
      </x:c>
      <x:c r="F13" s="160" t="str">
        <x:v>大小球</x:v>
      </x:c>
      <x:c r="G13" s="160" t="str">
        <x:v>莫尔德-0.25不买</x:v>
      </x:c>
      <x:c r="H13" s="160" t="str">
        <x:v>小3.25</x:v>
      </x:c>
      <x:c r="I13" s="160" t="str">
        <x:v>Yes</x:v>
      </x:c>
      <x:c r="J13" s="160" t="str">
        <x:v>2-2</x:v>
      </x:c>
      <x:c r="K13" s="160" t="str">
        <x:v>否</x:v>
      </x:c>
      <x:c r="L13" s="160" t="str">
        <x:v>否</x:v>
      </x:c>
      <x:c r="M13" s="160" t="str">
        <x:v>是｜2-2为赛前第二错点</x:v>
      </x:c>
      <x:c r="N13" s="160" t="str">
        <x:v>是｜4球边界＋平局</x:v>
      </x:c>
      <x:c r="O13" s="160" t="str">
        <x:v>模型排序错误</x:v>
      </x:c>
      <x:c r="P13" s="160" t="str">
        <x:v>未投注｜价格否决正确，方向模型错误</x:v>
      </x:c>
      <x:c r="Q13" s="160" t="str">
        <x:v>否</x:v>
      </x:c>
      <x:c r="R13" s="160" t="str">
        <x:v>平局低估/4球边界</x:v>
      </x:c>
      <x:c r="S13" s="160" t="str">
        <x:v>1-1、2-2、0-2</x:v>
      </x:c>
      <x:c r="T13" s="160" t="str">
        <x:v>BTTS Yes正确，2-2已列错点；但平局成交占比异常未被充分上调，仍错误首推客胜与小3.25。</x:v>
      </x:c>
      <x:c r="U13" s="161" t="n">
        <x:v>0.5</x:v>
      </x:c>
      <x:c r="V13" s="160" t="n">
        <x:v>1</x:v>
      </x:c>
    </x:row>
    <x:row r="14">
      <x:c r="A14" s="160" t="str">
        <x:v>M012</x:v>
      </x:c>
      <x:c r="B14" s="160" t="str">
        <x:v>瑞典超｜奥尔格里特 vs 赫根</x:v>
      </x:c>
      <x:c r="C14" s="160" t="str">
        <x:v>足球强弱与市场同向赫根，大球热度高</x:v>
      </x:c>
      <x:c r="D14" s="160" t="str">
        <x:v>客胜真实但赫根防线脆弱；3.5并非足够右尾屏障</x:v>
      </x:c>
      <x:c r="E14" s="160" t="str">
        <x:v>1-2</x:v>
      </x:c>
      <x:c r="F14" s="160" t="str">
        <x:v>大小球</x:v>
      </x:c>
      <x:c r="G14" s="160" t="str">
        <x:v>赫根-1不买</x:v>
      </x:c>
      <x:c r="H14" s="160" t="str">
        <x:v>小3.5</x:v>
      </x:c>
      <x:c r="I14" s="160" t="str">
        <x:v>Yes</x:v>
      </x:c>
      <x:c r="J14" s="160" t="str">
        <x:v>4-3</x:v>
      </x:c>
      <x:c r="K14" s="160" t="str">
        <x:v>否</x:v>
      </x:c>
      <x:c r="L14" s="160" t="str">
        <x:v>否</x:v>
      </x:c>
      <x:c r="M14" s="160" t="str">
        <x:v>否</x:v>
      </x:c>
      <x:c r="N14" s="160" t="str">
        <x:v>是｜7球极端右尾＋主队爆冷</x:v>
      </x:c>
      <x:c r="O14" s="160" t="str">
        <x:v>模型判断错误</x:v>
      </x:c>
      <x:c r="P14" s="160" t="str">
        <x:v>未投注｜价格纪律保护本金，但方向严重错误</x:v>
      </x:c>
      <x:c r="Q14" s="160" t="str">
        <x:v>否</x:v>
      </x:c>
      <x:c r="R14" s="160" t="str">
        <x:v>极端右尾/弱方多球/热门防线崩盘</x:v>
      </x:c>
      <x:c r="S14" s="160" t="str">
        <x:v>0-3、1-3、2-2</x:v>
      </x:c>
      <x:c r="T14" s="160" t="str">
        <x:v>低估德比波动、奥尔格里特主场持续进球和赫根连续防守崩盘；3.5不应被当作安全上限。</x:v>
      </x:c>
      <x:c r="U14" s="161" t="n">
        <x:v>0</x:v>
      </x:c>
      <x:c r="V14" s="160" t="n">
        <x:v>1</x:v>
      </x:c>
    </x:row>
    <x:row r="15">
      <x:c r="A15" s="160" t="str">
        <x:v>M013</x:v>
      </x:c>
      <x:c r="B15" s="160" t="str">
        <x:v>挪超｜特罗姆瑟 vs 瓦勒伦加</x:v>
      </x:c>
      <x:c r="C15" s="160" t="str">
        <x:v>主队与大球双热，但小球盘口持续保护</x:v>
      </x:c>
      <x:c r="D15" s="160" t="str">
        <x:v>主胜真实＋大球89%拥挤；小2.75低水</x:v>
      </x:c>
      <x:c r="E15" s="160" t="str">
        <x:v>1-0</x:v>
      </x:c>
      <x:c r="F15" s="160" t="str">
        <x:v>大小球</x:v>
      </x:c>
      <x:c r="G15" s="160" t="str">
        <x:v>特罗姆瑟-0.75不买</x:v>
      </x:c>
      <x:c r="H15" s="160" t="str">
        <x:v>小2.5/3</x:v>
      </x:c>
      <x:c r="I15" s="160" t="str">
        <x:v>No极轻</x:v>
      </x:c>
      <x:c r="J15" s="160" t="str">
        <x:v>1-0</x:v>
      </x:c>
      <x:c r="K15" s="160" t="str">
        <x:v>是</x:v>
      </x:c>
      <x:c r="L15" s="160" t="str">
        <x:v>是</x:v>
      </x:c>
      <x:c r="M15" s="160" t="str">
        <x:v>否</x:v>
      </x:c>
      <x:c r="N15" s="160" t="str">
        <x:v>否</x:v>
      </x:c>
      <x:c r="O15" s="160" t="str">
        <x:v>模型判断正确</x:v>
      </x:c>
      <x:c r="P15" s="160" t="str">
        <x:v>未投注｜价格未达线，足球与比分模型命中</x:v>
      </x:c>
      <x:c r="Q15" s="160" t="str">
        <x:v>否</x:v>
      </x:c>
      <x:c r="R15" s="160" t="str">
        <x:v>无｜执行阈值待长期验证</x:v>
      </x:c>
      <x:c r="S15" s="160" t="str">
        <x:v>2-1、1-1、2-0</x:v>
      </x:c>
      <x:c r="T15" s="160" t="str">
        <x:v>主胜、小球、BTTS No与1-0全部命中；不能因单场结果直接下调执行线，应继续积累CLV与价格样本。</x:v>
      </x:c>
      <x:c r="U15" s="161" t="n">
        <x:v>1</x:v>
      </x:c>
      <x:c r="V15" s="160" t="n">
        <x:v>1</x:v>
      </x:c>
    </x:row>
    <x:row r="16">
      <x:c r="A16" s="160" t="str">
        <x:v>M014</x:v>
      </x:c>
      <x:c r="B16" s="160" t="str">
        <x:v>世界杯｜挪威 vs 英格兰</x:v>
      </x:c>
      <x:c r="C16" s="160" t="str">
        <x:v>三维同向于双方进球；英格兰胜仅轻优且价格警报</x:v>
      </x:c>
      <x:c r="D16" s="160" t="str">
        <x:v>英格兰与大球同步强化，但90分钟胜率不足50%；BTTS结构真实</x:v>
      </x:c>
      <x:c r="E16" s="160" t="str">
        <x:v>1-2</x:v>
      </x:c>
      <x:c r="F16" s="160" t="str">
        <x:v>BTTS</x:v>
      </x:c>
      <x:c r="G16" s="160" t="str">
        <x:v>英格兰-0.5/-0.75不买</x:v>
      </x:c>
      <x:c r="H16" s="160" t="str">
        <x:v>3球中枢；大2.75不买</x:v>
      </x:c>
      <x:c r="I16" s="160" t="str">
        <x:v>Yes</x:v>
      </x:c>
      <x:c r="J16" s="160" t="str">
        <x:v>1-1</x:v>
      </x:c>
      <x:c r="K16" s="160" t="str">
        <x:v>是｜双方进球命中</x:v>
      </x:c>
      <x:c r="L16" s="160" t="str">
        <x:v>否</x:v>
      </x:c>
      <x:c r="M16" s="160" t="str">
        <x:v>是｜1-1为数学第一且赛前第一错点</x:v>
      </x:c>
      <x:c r="N16" s="160" t="str">
        <x:v>是｜平局污染；加时1-2不计入90分钟比分命中</x:v>
      </x:c>
      <x:c r="O16" s="160" t="str">
        <x:v>人工融合排序错误</x:v>
      </x:c>
      <x:c r="P16" s="160" t="str">
        <x:v>未投注｜主维度命中、90分钟胜负与唯一比分错误、价格纪律正确</x:v>
      </x:c>
      <x:c r="Q16" s="160" t="str">
        <x:v>否｜镜头线争议未被官方技术数据支持，不作为赛前模型解释</x:v>
      </x:c>
      <x:c r="R16" s="160" t="str">
        <x:v>平局低估/人工融合覆盖数学第一</x:v>
      </x:c>
      <x:c r="S16" s="160" t="str">
        <x:v>1-1、0-1、2-2</x:v>
      </x:c>
      <x:c r="T16" s="160" t="str">
        <x:v>90分钟1-1；BTTS Yes判断正确。模型数学第一本为1-1，却因英格兰盘面强化人工改选1-2。英格兰加时2-1晋级不计入90分钟命中；BTTS Yes仅1.40，赛前不下注仍属正确价格纪律。</x:v>
      </x:c>
      <x:c r="U16" s="161" t="n">
        <x:v>0.75</x:v>
      </x:c>
      <x:c r="V16" s="160" t="n">
        <x:v>1</x:v>
      </x:c>
    </x:row>
    <x:row r="17" ht="54" customHeight="1">
      <x:c r="A17" s="234" t="str">
        <x:v>M015</x:v>
      </x:c>
      <x:c r="B17" s="160" t="str">
        <x:v>世界杯｜阿根廷 vs 瑞士</x:v>
      </x:c>
      <x:c r="C17" s="160" t="str">
        <x:v>足球与市场同向阿根廷小胜/低总球，但阿根廷与小球均价格压缩</x:v>
      </x:c>
      <x:c r="D17" s="160" t="str">
        <x:v>阿根廷胜真实但未升-1强防；2.25长期压小，瑞士进球路径被低估</x:v>
      </x:c>
      <x:c r="E17" s="160" t="str">
        <x:v>1-0</x:v>
      </x:c>
      <x:c r="F17" s="160" t="str">
        <x:v>大小球</x:v>
      </x:c>
      <x:c r="G17" s="160" t="str">
        <x:v>阿根廷-0.75不买</x:v>
      </x:c>
      <x:c r="H17" s="160" t="str">
        <x:v>小2.25</x:v>
      </x:c>
      <x:c r="I17" s="160" t="str">
        <x:v>No</x:v>
      </x:c>
      <x:c r="J17" s="160" t="str">
        <x:v>1-1</x:v>
      </x:c>
      <x:c r="K17" s="160" t="str">
        <x:v>是｜2球，小2.25半红</x:v>
      </x:c>
      <x:c r="L17" s="160" t="str">
        <x:v>否</x:v>
      </x:c>
      <x:c r="M17" s="160" t="str">
        <x:v>是｜1-1为模型第三比分与赛前第二错点</x:v>
      </x:c>
      <x:c r="N17" s="160" t="str">
        <x:v>是｜BTTS反向＋平局；加时3-1不计入90分钟</x:v>
      </x:c>
      <x:c r="O17" s="160" t="str">
        <x:v>模型排序错误</x:v>
      </x:c>
      <x:c r="P17" s="160" t="str">
        <x:v>未投注｜低总球主线命中、比分/BTTS/胜负错误、价格纪律正确</x:v>
      </x:c>
      <x:c r="Q17" s="160" t="str">
        <x:v>否｜埃博洛红牌发生在1-1之后，不解释90分钟预测错误</x:v>
      </x:c>
      <x:c r="R17" s="160" t="str">
        <x:v>弱方进球率低估/平局污染</x:v>
      </x:c>
      <x:c r="S17" s="160" t="str">
        <x:v>2-0、1-1、2-1</x:v>
      </x:c>
      <x:c r="T17" s="160" t="str">
        <x:v>90分钟1-1，小2.25为半红；阿根廷加时3-1晋级与90分钟投注结算无关。模型正确识别低总球，却把瑞士约0.72的进球均值过度压成零封，低估恩多耶、罗德里格斯与瑞士连续施压形成的扳平路径。</x:v>
      </x:c>
      <x:c r="U17" s="161" t="n">
        <x:v>0.5</x:v>
      </x:c>
      <x:c r="V17" s="160" t="n">
        <x:v>1</x:v>
      </x:c>
    </x:row>
    <x:row r="18" ht="104" customHeight="1">
      <x:c r="A18" s="234" t="str">
        <x:v>M016</x:v>
      </x:c>
      <x:c r="B18" s="160" t="str">
        <x:v>瑞典超｜佐加顿斯 vs 哈尔姆斯塔德</x:v>
      </x:c>
      <x:c r="C18" s="160" t="str">
        <x:v>足球与市场同向主队大胜；交易所主胜极热，价格层警报</x:v>
      </x:c>
      <x:c r="D18" s="160" t="str">
        <x:v>主让1.75升2、总球3升3.5；主队净胜2+真实，但公开价无正EV</x:v>
      </x:c>
      <x:c r="E18" s="160" t="str">
        <x:v>3-1</x:v>
      </x:c>
      <x:c r="F18" s="160" t="str">
        <x:v>让球/净胜球</x:v>
      </x:c>
      <x:c r="G18" s="160" t="str">
        <x:v>佐加顿斯净胜至少2球；-2仅≥2.30执行</x:v>
      </x:c>
      <x:c r="H18" s="160" t="str">
        <x:v>3—4球中枢；缺两侧价格不执行</x:v>
      </x:c>
      <x:c r="I18" s="160" t="str">
        <x:v>Yes轻微（52.6%）</x:v>
      </x:c>
      <x:c r="J18" s="160" t="str">
        <x:v>3-0</x:v>
      </x:c>
      <x:c r="K18" s="160" t="str">
        <x:v>是｜净胜3球</x:v>
      </x:c>
      <x:c r="L18" s="160" t="str">
        <x:v>否</x:v>
      </x:c>
      <x:c r="M18" s="160" t="str">
        <x:v>是｜3-0为赛前市场第一、3-1相邻</x:v>
      </x:c>
      <x:c r="N18" s="160" t="str">
        <x:v>否｜总进球3命中中枢</x:v>
      </x:c>
      <x:c r="O18" s="160" t="str">
        <x:v>精确比分排序偏差</x:v>
      </x:c>
      <x:c r="P18" s="160" t="str">
        <x:v>未投注｜主维度命中、唯一比分未中、价格纪律正确</x:v>
      </x:c>
      <x:c r="Q18" s="160" t="str">
        <x:v>否｜主队防守失误未发生；客队1.08 xG未进属于可接受随机波动</x:v>
      </x:c>
      <x:c r="R18" s="160" t="str">
        <x:v>弱方进球落点/市场第一未上位</x:v>
      </x:c>
      <x:c r="S18" s="160" t="str">
        <x:v>2-0、3-0、2-1（3-0为市场第一）</x:v>
      </x:c>
      <x:c r="T18" s="160" t="str">
        <x:v>主队净胜2+与3球中枢正确；3-0在赛前已列市场第一。客队12射、1.08 xG却未进，不应因零封结果追改弱方λ。-2@2.04虽赛果赢盘，但赛前EV约-5.3%，空仓仍正确。</x:v>
      </x:c>
      <x:c r="U18" s="161" t="n">
        <x:v>0.75</x:v>
      </x:c>
      <x:c r="V18" s="160" t="n">
        <x:v>1</x:v>
      </x:c>
    </x:row>
    <x:row r="19" ht="104" customHeight="1">
      <x:c r="A19" s="249" t="str">
        <x:v>M017</x:v>
      </x:c>
      <x:c r="B19" s="249" t="str">
        <x:v>欧洲冠军联赛｜杰尔 vs 雷克雅未克维京人</x:v>
      </x:c>
      <x:c r="C19" s="249" t="str">
        <x:v>Poisson+Dixon-Coles完成；次回合领先/追分脚本修正</x:v>
      </x:c>
      <x:c r="D19" s="249" t="str">
        <x:v>竞彩1.47/4.20/4.75对应EV约-10.6%/-10.3%/-15.5%；Pinnacle杰尔-1@2.01按赢2+、净胜1走盘计算，点估计EV约-1.6%，不过线</x:v>
      </x:c>
      <x:c r="E19" s="249" t="str">
        <x:v>杰尔 2-1 雷克雅未克维京人</x:v>
      </x:c>
      <x:c r="F19" s="249" t="str">
        <x:v>杰尔90分钟主胜（方向保留，价格层不执行）</x:v>
      </x:c>
      <x:c r="G19" s="249" t="str">
        <x:v>杰尔90分钟主胜（方向保留，价格层不执行）</x:v>
      </x:c>
      <x:c r="H19" s="249" t="str">
        <x:v>模型总进球均值 3.07</x:v>
      </x:c>
      <x:c r="I19" s="249" t="str">
        <x:v>BTTS Yes 56.0%，但次回合状态依赖较强</x:v>
      </x:c>
      <x:c r="J19" s="249" t="str">
        <x:v>2-2</x:v>
      </x:c>
      <x:c r="K19" s="249" t="str">
        <x:v>否</x:v>
      </x:c>
      <x:c r="L19" s="249" t="str">
        <x:v>否</x:v>
      </x:c>
      <x:c r="M19" s="249" t="str">
        <x:v>是</x:v>
      </x:c>
      <x:c r="N19" s="249" t="str">
        <x:v>是</x:v>
      </x:c>
      <x:c r="O19" s="249" t="str">
        <x:v>次回合追分脚本低估维京人反击与平局韧性，主胜概率偏高</x:v>
      </x:c>
      <x:c r="P19" s="249" t="str">
        <x:v>黑且逻辑错误</x:v>
      </x:c>
      <x:c r="Q19" s="249" t="str">
        <x:v>否</x:v>
      </x:c>
      <x:c r="R19" s="249" t="str">
        <x:v>两回合状态依赖与客队反击尾部低估</x:v>
      </x:c>
      <x:c r="S19" s="249" t="str">
        <x:v>杰尔早段未进球会显著抬高平局和客队反击概率；维京人若先入球，杰尔需至少3球才能翻盘，比分尾部迅速变厚；资格赛球队数据与阵容信息不足，λ误差高于世界杯场次</x:v>
      </x:c>
      <x:c r="T19" s="249" t="str">
        <x:v>赛前保留杰尔90分钟主胜但未执行；实际2-2，方向与唯一比分均未命中。空仓纪律正确，错误集中在主队追分叙事对平局/客队进球的压低。</x:v>
      </x:c>
      <x:c r="U19" s="250" t="n">
        <x:v>0.25</x:v>
      </x:c>
      <x:c r="V19" s="249" t="n">
        <x:v>1</x:v>
      </x:c>
    </x:row>
    <x:row r="20">
      <x:c r="A20" s="160"/>
      <x:c r="B20" s="160"/>
      <x:c r="C20" s="160"/>
      <x:c r="D20" s="160"/>
      <x:c r="E20" s="160"/>
      <x:c r="F20" s="160"/>
      <x:c r="G20" s="160"/>
      <x:c r="H20" s="160"/>
      <x:c r="I20" s="160"/>
      <x:c r="J20" s="160"/>
      <x:c r="K20" s="160"/>
      <x:c r="L20" s="160"/>
      <x:c r="M20" s="160"/>
      <x:c r="N20" s="160"/>
      <x:c r="O20" s="160"/>
      <x:c r="P20" s="160"/>
      <x:c r="Q20" s="160"/>
      <x:c r="R20" s="160"/>
      <x:c r="S20" s="160"/>
      <x:c r="T20" s="160"/>
      <x:c r="U20" s="161"/>
      <x:c r="V20" s="160"/>
    </x:row>
    <x:row r="21">
      <x:c r="A21" s="160"/>
      <x:c r="B21" s="160"/>
      <x:c r="C21" s="160"/>
      <x:c r="D21" s="160"/>
      <x:c r="E21" s="160"/>
      <x:c r="F21" s="160"/>
      <x:c r="G21" s="160"/>
      <x:c r="H21" s="160"/>
      <x:c r="I21" s="160"/>
      <x:c r="J21" s="160"/>
      <x:c r="K21" s="160"/>
      <x:c r="L21" s="160"/>
      <x:c r="M21" s="160"/>
      <x:c r="N21" s="160"/>
      <x:c r="O21" s="160"/>
      <x:c r="P21" s="160"/>
      <x:c r="Q21" s="160"/>
      <x:c r="R21" s="160"/>
      <x:c r="S21" s="160"/>
      <x:c r="T21" s="160"/>
      <x:c r="U21" s="161"/>
      <x:c r="V21" s="160"/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0"/>
      <x:c r="M22" s="160"/>
      <x:c r="N22" s="160"/>
      <x:c r="O22" s="160"/>
      <x:c r="P22" s="160"/>
      <x:c r="Q22" s="160"/>
      <x:c r="R22" s="160"/>
      <x:c r="S22" s="160"/>
      <x:c r="T22" s="160"/>
      <x:c r="U22" s="161"/>
      <x:c r="V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0"/>
      <x:c r="M23" s="160"/>
      <x:c r="N23" s="160"/>
      <x:c r="O23" s="160"/>
      <x:c r="P23" s="160"/>
      <x:c r="Q23" s="160"/>
      <x:c r="R23" s="160"/>
      <x:c r="S23" s="160"/>
      <x:c r="T23" s="160"/>
      <x:c r="U23" s="161"/>
      <x:c r="V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  <x:c r="N24" s="160"/>
      <x:c r="O24" s="160"/>
      <x:c r="P24" s="160"/>
      <x:c r="Q24" s="160"/>
      <x:c r="R24" s="160"/>
      <x:c r="S24" s="160"/>
      <x:c r="T24" s="160"/>
      <x:c r="U24" s="161"/>
      <x:c r="V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0"/>
      <x:c r="M25" s="160"/>
      <x:c r="N25" s="160"/>
      <x:c r="O25" s="160"/>
      <x:c r="P25" s="160"/>
      <x:c r="Q25" s="160"/>
      <x:c r="R25" s="160"/>
      <x:c r="S25" s="160"/>
      <x:c r="T25" s="160"/>
      <x:c r="U25" s="161"/>
      <x:c r="V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0"/>
      <x:c r="M26" s="160"/>
      <x:c r="N26" s="160"/>
      <x:c r="O26" s="160"/>
      <x:c r="P26" s="160"/>
      <x:c r="Q26" s="160"/>
      <x:c r="R26" s="160"/>
      <x:c r="S26" s="160"/>
      <x:c r="T26" s="160"/>
      <x:c r="U26" s="161"/>
      <x:c r="V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  <x:c r="N27" s="160"/>
      <x:c r="O27" s="160"/>
      <x:c r="P27" s="160"/>
      <x:c r="Q27" s="160"/>
      <x:c r="R27" s="160"/>
      <x:c r="S27" s="160"/>
      <x:c r="T27" s="160"/>
      <x:c r="U27" s="161"/>
      <x:c r="V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0"/>
      <x:c r="M28" s="160"/>
      <x:c r="N28" s="160"/>
      <x:c r="O28" s="160"/>
      <x:c r="P28" s="160"/>
      <x:c r="Q28" s="160"/>
      <x:c r="R28" s="160"/>
      <x:c r="S28" s="160"/>
      <x:c r="T28" s="160"/>
      <x:c r="U28" s="161"/>
      <x:c r="V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0"/>
      <x:c r="M29" s="160"/>
      <x:c r="N29" s="160"/>
      <x:c r="O29" s="160"/>
      <x:c r="P29" s="160"/>
      <x:c r="Q29" s="160"/>
      <x:c r="R29" s="160"/>
      <x:c r="S29" s="160"/>
      <x:c r="T29" s="160"/>
      <x:c r="U29" s="161"/>
      <x:c r="V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0"/>
      <x:c r="P30" s="160"/>
      <x:c r="Q30" s="160"/>
      <x:c r="R30" s="160"/>
      <x:c r="S30" s="160"/>
      <x:c r="T30" s="160"/>
      <x:c r="U30" s="161"/>
      <x:c r="V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0"/>
      <x:c r="M31" s="160"/>
      <x:c r="N31" s="160"/>
      <x:c r="O31" s="160"/>
      <x:c r="P31" s="160"/>
      <x:c r="Q31" s="160"/>
      <x:c r="R31" s="160"/>
      <x:c r="S31" s="160"/>
      <x:c r="T31" s="160"/>
      <x:c r="U31" s="161"/>
      <x:c r="V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  <x:c r="N32" s="160"/>
      <x:c r="O32" s="160"/>
      <x:c r="P32" s="160"/>
      <x:c r="Q32" s="160"/>
      <x:c r="R32" s="160"/>
      <x:c r="S32" s="160"/>
      <x:c r="T32" s="160"/>
      <x:c r="U32" s="161"/>
      <x:c r="V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  <x:c r="N33" s="160"/>
      <x:c r="O33" s="160"/>
      <x:c r="P33" s="160"/>
      <x:c r="Q33" s="160"/>
      <x:c r="R33" s="160"/>
      <x:c r="S33" s="160"/>
      <x:c r="T33" s="160"/>
      <x:c r="U33" s="161"/>
      <x:c r="V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  <x:c r="N34" s="160"/>
      <x:c r="O34" s="160"/>
      <x:c r="P34" s="160"/>
      <x:c r="Q34" s="160"/>
      <x:c r="R34" s="160"/>
      <x:c r="S34" s="160"/>
      <x:c r="T34" s="160"/>
      <x:c r="U34" s="161"/>
      <x:c r="V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  <x:c r="N35" s="160"/>
      <x:c r="O35" s="160"/>
      <x:c r="P35" s="160"/>
      <x:c r="Q35" s="160"/>
      <x:c r="R35" s="160"/>
      <x:c r="S35" s="160"/>
      <x:c r="T35" s="160"/>
      <x:c r="U35" s="161"/>
      <x:c r="V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  <x:c r="N36" s="160"/>
      <x:c r="O36" s="160"/>
      <x:c r="P36" s="160"/>
      <x:c r="Q36" s="160"/>
      <x:c r="R36" s="160"/>
      <x:c r="S36" s="160"/>
      <x:c r="T36" s="160"/>
      <x:c r="U36" s="161"/>
      <x:c r="V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  <x:c r="N37" s="160"/>
      <x:c r="O37" s="160"/>
      <x:c r="P37" s="160"/>
      <x:c r="Q37" s="160"/>
      <x:c r="R37" s="160"/>
      <x:c r="S37" s="160"/>
      <x:c r="T37" s="160"/>
      <x:c r="U37" s="161"/>
      <x:c r="V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  <x:c r="N38" s="160"/>
      <x:c r="O38" s="160"/>
      <x:c r="P38" s="160"/>
      <x:c r="Q38" s="160"/>
      <x:c r="R38" s="160"/>
      <x:c r="S38" s="160"/>
      <x:c r="T38" s="160"/>
      <x:c r="U38" s="161"/>
      <x:c r="V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  <x:c r="N39" s="160"/>
      <x:c r="O39" s="160"/>
      <x:c r="P39" s="160"/>
      <x:c r="Q39" s="160"/>
      <x:c r="R39" s="160"/>
      <x:c r="S39" s="160"/>
      <x:c r="T39" s="160"/>
      <x:c r="U39" s="161"/>
      <x:c r="V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  <x:c r="N40" s="160"/>
      <x:c r="O40" s="160"/>
      <x:c r="P40" s="160"/>
      <x:c r="Q40" s="160"/>
      <x:c r="R40" s="160"/>
      <x:c r="S40" s="160"/>
      <x:c r="T40" s="160"/>
      <x:c r="U40" s="161"/>
      <x:c r="V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  <x:c r="N41" s="160"/>
      <x:c r="O41" s="160"/>
      <x:c r="P41" s="160"/>
      <x:c r="Q41" s="160"/>
      <x:c r="R41" s="160"/>
      <x:c r="S41" s="160"/>
      <x:c r="T41" s="160"/>
      <x:c r="U41" s="161"/>
      <x:c r="V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  <x:c r="N42" s="160"/>
      <x:c r="O42" s="160"/>
      <x:c r="P42" s="160"/>
      <x:c r="Q42" s="160"/>
      <x:c r="R42" s="160"/>
      <x:c r="S42" s="160"/>
      <x:c r="T42" s="160"/>
      <x:c r="U42" s="161"/>
      <x:c r="V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  <x:c r="N43" s="160"/>
      <x:c r="O43" s="160"/>
      <x:c r="P43" s="160"/>
      <x:c r="Q43" s="160"/>
      <x:c r="R43" s="160"/>
      <x:c r="S43" s="160"/>
      <x:c r="T43" s="160"/>
      <x:c r="U43" s="161"/>
      <x:c r="V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  <x:c r="N44" s="160"/>
      <x:c r="O44" s="160"/>
      <x:c r="P44" s="160"/>
      <x:c r="Q44" s="160"/>
      <x:c r="R44" s="160"/>
      <x:c r="S44" s="160"/>
      <x:c r="T44" s="160"/>
      <x:c r="U44" s="161"/>
      <x:c r="V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  <x:c r="N45" s="160"/>
      <x:c r="O45" s="160"/>
      <x:c r="P45" s="160"/>
      <x:c r="Q45" s="160"/>
      <x:c r="R45" s="160"/>
      <x:c r="S45" s="160"/>
      <x:c r="T45" s="160"/>
      <x:c r="U45" s="161"/>
      <x:c r="V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  <x:c r="N46" s="160"/>
      <x:c r="O46" s="160"/>
      <x:c r="P46" s="160"/>
      <x:c r="Q46" s="160"/>
      <x:c r="R46" s="160"/>
      <x:c r="S46" s="160"/>
      <x:c r="T46" s="160"/>
      <x:c r="U46" s="161"/>
      <x:c r="V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  <x:c r="N47" s="160"/>
      <x:c r="O47" s="160"/>
      <x:c r="P47" s="160"/>
      <x:c r="Q47" s="160"/>
      <x:c r="R47" s="160"/>
      <x:c r="S47" s="160"/>
      <x:c r="T47" s="160"/>
      <x:c r="U47" s="161"/>
      <x:c r="V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  <x:c r="N48" s="160"/>
      <x:c r="O48" s="160"/>
      <x:c r="P48" s="160"/>
      <x:c r="Q48" s="160"/>
      <x:c r="R48" s="160"/>
      <x:c r="S48" s="160"/>
      <x:c r="T48" s="160"/>
      <x:c r="U48" s="161"/>
      <x:c r="V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  <x:c r="N49" s="160"/>
      <x:c r="O49" s="160"/>
      <x:c r="P49" s="160"/>
      <x:c r="Q49" s="160"/>
      <x:c r="R49" s="160"/>
      <x:c r="S49" s="160"/>
      <x:c r="T49" s="160"/>
      <x:c r="U49" s="161"/>
      <x:c r="V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  <x:c r="N50" s="160"/>
      <x:c r="O50" s="160"/>
      <x:c r="P50" s="160"/>
      <x:c r="Q50" s="160"/>
      <x:c r="R50" s="160"/>
      <x:c r="S50" s="160"/>
      <x:c r="T50" s="160"/>
      <x:c r="U50" s="161"/>
      <x:c r="V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  <x:c r="N51" s="160"/>
      <x:c r="O51" s="160"/>
      <x:c r="P51" s="160"/>
      <x:c r="Q51" s="160"/>
      <x:c r="R51" s="160"/>
      <x:c r="S51" s="160"/>
      <x:c r="T51" s="160"/>
      <x:c r="U51" s="161"/>
      <x:c r="V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  <x:c r="N52" s="160"/>
      <x:c r="O52" s="160"/>
      <x:c r="P52" s="160"/>
      <x:c r="Q52" s="160"/>
      <x:c r="R52" s="160"/>
      <x:c r="S52" s="160"/>
      <x:c r="T52" s="160"/>
      <x:c r="U52" s="161"/>
      <x:c r="V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  <x:c r="N53" s="160"/>
      <x:c r="O53" s="160"/>
      <x:c r="P53" s="160"/>
      <x:c r="Q53" s="160"/>
      <x:c r="R53" s="160"/>
      <x:c r="S53" s="160"/>
      <x:c r="T53" s="160"/>
      <x:c r="U53" s="161"/>
      <x:c r="V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  <x:c r="N54" s="160"/>
      <x:c r="O54" s="160"/>
      <x:c r="P54" s="160"/>
      <x:c r="Q54" s="160"/>
      <x:c r="R54" s="160"/>
      <x:c r="S54" s="160"/>
      <x:c r="T54" s="160"/>
      <x:c r="U54" s="161"/>
      <x:c r="V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  <x:c r="N55" s="160"/>
      <x:c r="O55" s="160"/>
      <x:c r="P55" s="160"/>
      <x:c r="Q55" s="160"/>
      <x:c r="R55" s="160"/>
      <x:c r="S55" s="160"/>
      <x:c r="T55" s="160"/>
      <x:c r="U55" s="161"/>
      <x:c r="V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  <x:c r="N56" s="160"/>
      <x:c r="O56" s="160"/>
      <x:c r="P56" s="160"/>
      <x:c r="Q56" s="160"/>
      <x:c r="R56" s="160"/>
      <x:c r="S56" s="160"/>
      <x:c r="T56" s="160"/>
      <x:c r="U56" s="161"/>
      <x:c r="V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  <x:c r="N57" s="160"/>
      <x:c r="O57" s="160"/>
      <x:c r="P57" s="160"/>
      <x:c r="Q57" s="160"/>
      <x:c r="R57" s="160"/>
      <x:c r="S57" s="160"/>
      <x:c r="T57" s="160"/>
      <x:c r="U57" s="161"/>
      <x:c r="V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  <x:c r="N58" s="160"/>
      <x:c r="O58" s="160"/>
      <x:c r="P58" s="160"/>
      <x:c r="Q58" s="160"/>
      <x:c r="R58" s="160"/>
      <x:c r="S58" s="160"/>
      <x:c r="T58" s="160"/>
      <x:c r="U58" s="161"/>
      <x:c r="V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  <x:c r="N59" s="160"/>
      <x:c r="O59" s="160"/>
      <x:c r="P59" s="160"/>
      <x:c r="Q59" s="160"/>
      <x:c r="R59" s="160"/>
      <x:c r="S59" s="160"/>
      <x:c r="T59" s="160"/>
      <x:c r="U59" s="161"/>
      <x:c r="V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  <x:c r="N60" s="160"/>
      <x:c r="O60" s="160"/>
      <x:c r="P60" s="160"/>
      <x:c r="Q60" s="160"/>
      <x:c r="R60" s="160"/>
      <x:c r="S60" s="160"/>
      <x:c r="T60" s="160"/>
      <x:c r="U60" s="161"/>
      <x:c r="V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  <x:c r="N61" s="160"/>
      <x:c r="O61" s="160"/>
      <x:c r="P61" s="160"/>
      <x:c r="Q61" s="160"/>
      <x:c r="R61" s="160"/>
      <x:c r="S61" s="160"/>
      <x:c r="T61" s="160"/>
      <x:c r="U61" s="161"/>
      <x:c r="V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  <x:c r="N62" s="160"/>
      <x:c r="O62" s="160"/>
      <x:c r="P62" s="160"/>
      <x:c r="Q62" s="160"/>
      <x:c r="R62" s="160"/>
      <x:c r="S62" s="160"/>
      <x:c r="T62" s="160"/>
      <x:c r="U62" s="161"/>
      <x:c r="V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  <x:c r="N63" s="160"/>
      <x:c r="O63" s="160"/>
      <x:c r="P63" s="160"/>
      <x:c r="Q63" s="160"/>
      <x:c r="R63" s="160"/>
      <x:c r="S63" s="160"/>
      <x:c r="T63" s="160"/>
      <x:c r="U63" s="161"/>
      <x:c r="V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  <x:c r="N64" s="160"/>
      <x:c r="O64" s="160"/>
      <x:c r="P64" s="160"/>
      <x:c r="Q64" s="160"/>
      <x:c r="R64" s="160"/>
      <x:c r="S64" s="160"/>
      <x:c r="T64" s="160"/>
      <x:c r="U64" s="161"/>
      <x:c r="V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  <x:c r="N65" s="160"/>
      <x:c r="O65" s="160"/>
      <x:c r="P65" s="160"/>
      <x:c r="Q65" s="160"/>
      <x:c r="R65" s="160"/>
      <x:c r="S65" s="160"/>
      <x:c r="T65" s="160"/>
      <x:c r="U65" s="161"/>
      <x:c r="V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  <x:c r="N66" s="160"/>
      <x:c r="O66" s="160"/>
      <x:c r="P66" s="160"/>
      <x:c r="Q66" s="160"/>
      <x:c r="R66" s="160"/>
      <x:c r="S66" s="160"/>
      <x:c r="T66" s="160"/>
      <x:c r="U66" s="161"/>
      <x:c r="V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  <x:c r="N67" s="160"/>
      <x:c r="O67" s="160"/>
      <x:c r="P67" s="160"/>
      <x:c r="Q67" s="160"/>
      <x:c r="R67" s="160"/>
      <x:c r="S67" s="160"/>
      <x:c r="T67" s="160"/>
      <x:c r="U67" s="161"/>
      <x:c r="V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  <x:c r="N68" s="160"/>
      <x:c r="O68" s="160"/>
      <x:c r="P68" s="160"/>
      <x:c r="Q68" s="160"/>
      <x:c r="R68" s="160"/>
      <x:c r="S68" s="160"/>
      <x:c r="T68" s="160"/>
      <x:c r="U68" s="161"/>
      <x:c r="V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  <x:c r="N69" s="160"/>
      <x:c r="O69" s="160"/>
      <x:c r="P69" s="160"/>
      <x:c r="Q69" s="160"/>
      <x:c r="R69" s="160"/>
      <x:c r="S69" s="160"/>
      <x:c r="T69" s="160"/>
      <x:c r="U69" s="161"/>
      <x:c r="V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  <x:c r="N70" s="160"/>
      <x:c r="O70" s="160"/>
      <x:c r="P70" s="160"/>
      <x:c r="Q70" s="160"/>
      <x:c r="R70" s="160"/>
      <x:c r="S70" s="160"/>
      <x:c r="T70" s="160"/>
      <x:c r="U70" s="161"/>
      <x:c r="V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  <x:c r="N71" s="160"/>
      <x:c r="O71" s="160"/>
      <x:c r="P71" s="160"/>
      <x:c r="Q71" s="160"/>
      <x:c r="R71" s="160"/>
      <x:c r="S71" s="160"/>
      <x:c r="T71" s="160"/>
      <x:c r="U71" s="161"/>
      <x:c r="V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  <x:c r="N72" s="160"/>
      <x:c r="O72" s="160"/>
      <x:c r="P72" s="160"/>
      <x:c r="Q72" s="160"/>
      <x:c r="R72" s="160"/>
      <x:c r="S72" s="160"/>
      <x:c r="T72" s="160"/>
      <x:c r="U72" s="161"/>
      <x:c r="V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  <x:c r="N73" s="160"/>
      <x:c r="O73" s="160"/>
      <x:c r="P73" s="160"/>
      <x:c r="Q73" s="160"/>
      <x:c r="R73" s="160"/>
      <x:c r="S73" s="160"/>
      <x:c r="T73" s="160"/>
      <x:c r="U73" s="161"/>
      <x:c r="V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  <x:c r="N74" s="160"/>
      <x:c r="O74" s="160"/>
      <x:c r="P74" s="160"/>
      <x:c r="Q74" s="160"/>
      <x:c r="R74" s="160"/>
      <x:c r="S74" s="160"/>
      <x:c r="T74" s="160"/>
      <x:c r="U74" s="161"/>
      <x:c r="V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  <x:c r="N75" s="160"/>
      <x:c r="O75" s="160"/>
      <x:c r="P75" s="160"/>
      <x:c r="Q75" s="160"/>
      <x:c r="R75" s="160"/>
      <x:c r="S75" s="160"/>
      <x:c r="T75" s="160"/>
      <x:c r="U75" s="161"/>
      <x:c r="V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  <x:c r="N76" s="160"/>
      <x:c r="O76" s="160"/>
      <x:c r="P76" s="160"/>
      <x:c r="Q76" s="160"/>
      <x:c r="R76" s="160"/>
      <x:c r="S76" s="160"/>
      <x:c r="T76" s="160"/>
      <x:c r="U76" s="161"/>
      <x:c r="V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  <x:c r="N77" s="160"/>
      <x:c r="O77" s="160"/>
      <x:c r="P77" s="160"/>
      <x:c r="Q77" s="160"/>
      <x:c r="R77" s="160"/>
      <x:c r="S77" s="160"/>
      <x:c r="T77" s="160"/>
      <x:c r="U77" s="161"/>
      <x:c r="V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  <x:c r="N78" s="160"/>
      <x:c r="O78" s="160"/>
      <x:c r="P78" s="160"/>
      <x:c r="Q78" s="160"/>
      <x:c r="R78" s="160"/>
      <x:c r="S78" s="160"/>
      <x:c r="T78" s="160"/>
      <x:c r="U78" s="161"/>
      <x:c r="V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  <x:c r="N79" s="160"/>
      <x:c r="O79" s="160"/>
      <x:c r="P79" s="160"/>
      <x:c r="Q79" s="160"/>
      <x:c r="R79" s="160"/>
      <x:c r="S79" s="160"/>
      <x:c r="T79" s="160"/>
      <x:c r="U79" s="161"/>
      <x:c r="V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  <x:c r="N80" s="160"/>
      <x:c r="O80" s="160"/>
      <x:c r="P80" s="160"/>
      <x:c r="Q80" s="160"/>
      <x:c r="R80" s="160"/>
      <x:c r="S80" s="160"/>
      <x:c r="T80" s="160"/>
      <x:c r="U80" s="161"/>
      <x:c r="V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  <x:c r="N81" s="160"/>
      <x:c r="O81" s="160"/>
      <x:c r="P81" s="160"/>
      <x:c r="Q81" s="160"/>
      <x:c r="R81" s="160"/>
      <x:c r="S81" s="160"/>
      <x:c r="T81" s="160"/>
      <x:c r="U81" s="161"/>
      <x:c r="V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  <x:c r="N82" s="160"/>
      <x:c r="O82" s="160"/>
      <x:c r="P82" s="160"/>
      <x:c r="Q82" s="160"/>
      <x:c r="R82" s="160"/>
      <x:c r="S82" s="160"/>
      <x:c r="T82" s="160"/>
      <x:c r="U82" s="161"/>
      <x:c r="V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  <x:c r="N83" s="160"/>
      <x:c r="O83" s="160"/>
      <x:c r="P83" s="160"/>
      <x:c r="Q83" s="160"/>
      <x:c r="R83" s="160"/>
      <x:c r="S83" s="160"/>
      <x:c r="T83" s="160"/>
      <x:c r="U83" s="161"/>
      <x:c r="V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  <x:c r="N84" s="160"/>
      <x:c r="O84" s="160"/>
      <x:c r="P84" s="160"/>
      <x:c r="Q84" s="160"/>
      <x:c r="R84" s="160"/>
      <x:c r="S84" s="160"/>
      <x:c r="T84" s="160"/>
      <x:c r="U84" s="161"/>
      <x:c r="V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  <x:c r="N85" s="160"/>
      <x:c r="O85" s="160"/>
      <x:c r="P85" s="160"/>
      <x:c r="Q85" s="160"/>
      <x:c r="R85" s="160"/>
      <x:c r="S85" s="160"/>
      <x:c r="T85" s="160"/>
      <x:c r="U85" s="161"/>
      <x:c r="V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  <x:c r="N86" s="160"/>
      <x:c r="O86" s="160"/>
      <x:c r="P86" s="160"/>
      <x:c r="Q86" s="160"/>
      <x:c r="R86" s="160"/>
      <x:c r="S86" s="160"/>
      <x:c r="T86" s="160"/>
      <x:c r="U86" s="161"/>
      <x:c r="V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  <x:c r="N87" s="160"/>
      <x:c r="O87" s="160"/>
      <x:c r="P87" s="160"/>
      <x:c r="Q87" s="160"/>
      <x:c r="R87" s="160"/>
      <x:c r="S87" s="160"/>
      <x:c r="T87" s="160"/>
      <x:c r="U87" s="161"/>
      <x:c r="V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  <x:c r="N88" s="160"/>
      <x:c r="O88" s="160"/>
      <x:c r="P88" s="160"/>
      <x:c r="Q88" s="160"/>
      <x:c r="R88" s="160"/>
      <x:c r="S88" s="160"/>
      <x:c r="T88" s="160"/>
      <x:c r="U88" s="161"/>
      <x:c r="V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  <x:c r="N89" s="160"/>
      <x:c r="O89" s="160"/>
      <x:c r="P89" s="160"/>
      <x:c r="Q89" s="160"/>
      <x:c r="R89" s="160"/>
      <x:c r="S89" s="160"/>
      <x:c r="T89" s="160"/>
      <x:c r="U89" s="161"/>
      <x:c r="V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  <x:c r="N90" s="160"/>
      <x:c r="O90" s="160"/>
      <x:c r="P90" s="160"/>
      <x:c r="Q90" s="160"/>
      <x:c r="R90" s="160"/>
      <x:c r="S90" s="160"/>
      <x:c r="T90" s="160"/>
      <x:c r="U90" s="161"/>
      <x:c r="V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  <x:c r="N91" s="160"/>
      <x:c r="O91" s="160"/>
      <x:c r="P91" s="160"/>
      <x:c r="Q91" s="160"/>
      <x:c r="R91" s="160"/>
      <x:c r="S91" s="160"/>
      <x:c r="T91" s="160"/>
      <x:c r="U91" s="161"/>
      <x:c r="V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  <x:c r="N92" s="160"/>
      <x:c r="O92" s="160"/>
      <x:c r="P92" s="160"/>
      <x:c r="Q92" s="160"/>
      <x:c r="R92" s="160"/>
      <x:c r="S92" s="160"/>
      <x:c r="T92" s="160"/>
      <x:c r="U92" s="161"/>
      <x:c r="V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  <x:c r="N93" s="160"/>
      <x:c r="O93" s="160"/>
      <x:c r="P93" s="160"/>
      <x:c r="Q93" s="160"/>
      <x:c r="R93" s="160"/>
      <x:c r="S93" s="160"/>
      <x:c r="T93" s="160"/>
      <x:c r="U93" s="161"/>
      <x:c r="V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  <x:c r="N94" s="160"/>
      <x:c r="O94" s="160"/>
      <x:c r="P94" s="160"/>
      <x:c r="Q94" s="160"/>
      <x:c r="R94" s="160"/>
      <x:c r="S94" s="160"/>
      <x:c r="T94" s="160"/>
      <x:c r="U94" s="161"/>
      <x:c r="V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  <x:c r="N95" s="160"/>
      <x:c r="O95" s="160"/>
      <x:c r="P95" s="160"/>
      <x:c r="Q95" s="160"/>
      <x:c r="R95" s="160"/>
      <x:c r="S95" s="160"/>
      <x:c r="T95" s="160"/>
      <x:c r="U95" s="161"/>
      <x:c r="V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  <x:c r="N96" s="160"/>
      <x:c r="O96" s="160"/>
      <x:c r="P96" s="160"/>
      <x:c r="Q96" s="160"/>
      <x:c r="R96" s="160"/>
      <x:c r="S96" s="160"/>
      <x:c r="T96" s="160"/>
      <x:c r="U96" s="161"/>
      <x:c r="V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  <x:c r="N97" s="160"/>
      <x:c r="O97" s="160"/>
      <x:c r="P97" s="160"/>
      <x:c r="Q97" s="160"/>
      <x:c r="R97" s="160"/>
      <x:c r="S97" s="160"/>
      <x:c r="T97" s="160"/>
      <x:c r="U97" s="161"/>
      <x:c r="V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  <x:c r="N98" s="160"/>
      <x:c r="O98" s="160"/>
      <x:c r="P98" s="160"/>
      <x:c r="Q98" s="160"/>
      <x:c r="R98" s="160"/>
      <x:c r="S98" s="160"/>
      <x:c r="T98" s="160"/>
      <x:c r="U98" s="161"/>
      <x:c r="V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  <x:c r="N99" s="160"/>
      <x:c r="O99" s="160"/>
      <x:c r="P99" s="160"/>
      <x:c r="Q99" s="160"/>
      <x:c r="R99" s="160"/>
      <x:c r="S99" s="160"/>
      <x:c r="T99" s="160"/>
      <x:c r="U99" s="161"/>
      <x:c r="V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  <x:c r="N100" s="160"/>
      <x:c r="O100" s="160"/>
      <x:c r="P100" s="160"/>
      <x:c r="Q100" s="160"/>
      <x:c r="R100" s="160"/>
      <x:c r="S100" s="160"/>
      <x:c r="T100" s="160"/>
      <x:c r="U100" s="161"/>
      <x:c r="V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  <x:c r="K101" s="160"/>
      <x:c r="L101" s="160"/>
      <x:c r="M101" s="160"/>
      <x:c r="N101" s="160"/>
      <x:c r="O101" s="160"/>
      <x:c r="P101" s="160"/>
      <x:c r="Q101" s="160"/>
      <x:c r="R101" s="160"/>
      <x:c r="S101" s="160"/>
      <x:c r="T101" s="160"/>
      <x:c r="U101" s="161"/>
      <x:c r="V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  <x:c r="K102" s="160"/>
      <x:c r="L102" s="160"/>
      <x:c r="M102" s="160"/>
      <x:c r="N102" s="160"/>
      <x:c r="O102" s="160"/>
      <x:c r="P102" s="160"/>
      <x:c r="Q102" s="160"/>
      <x:c r="R102" s="160"/>
      <x:c r="S102" s="160"/>
      <x:c r="T102" s="160"/>
      <x:c r="U102" s="161"/>
      <x:c r="V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  <x:c r="K103" s="160"/>
      <x:c r="L103" s="160"/>
      <x:c r="M103" s="160"/>
      <x:c r="N103" s="160"/>
      <x:c r="O103" s="160"/>
      <x:c r="P103" s="160"/>
      <x:c r="Q103" s="160"/>
      <x:c r="R103" s="160"/>
      <x:c r="S103" s="160"/>
      <x:c r="T103" s="160"/>
      <x:c r="U103" s="161"/>
      <x:c r="V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  <x:c r="K104" s="160"/>
      <x:c r="L104" s="160"/>
      <x:c r="M104" s="160"/>
      <x:c r="N104" s="160"/>
      <x:c r="O104" s="160"/>
      <x:c r="P104" s="160"/>
      <x:c r="Q104" s="160"/>
      <x:c r="R104" s="160"/>
      <x:c r="S104" s="160"/>
      <x:c r="T104" s="160"/>
      <x:c r="U104" s="161"/>
      <x:c r="V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  <x:c r="K105" s="160"/>
      <x:c r="L105" s="160"/>
      <x:c r="M105" s="160"/>
      <x:c r="N105" s="160"/>
      <x:c r="O105" s="160"/>
      <x:c r="P105" s="160"/>
      <x:c r="Q105" s="160"/>
      <x:c r="R105" s="160"/>
      <x:c r="S105" s="160"/>
      <x:c r="T105" s="160"/>
      <x:c r="U105" s="161"/>
      <x:c r="V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  <x:c r="K106" s="160"/>
      <x:c r="L106" s="160"/>
      <x:c r="M106" s="160"/>
      <x:c r="N106" s="160"/>
      <x:c r="O106" s="160"/>
      <x:c r="P106" s="160"/>
      <x:c r="Q106" s="160"/>
      <x:c r="R106" s="160"/>
      <x:c r="S106" s="160"/>
      <x:c r="T106" s="160"/>
      <x:c r="U106" s="161"/>
      <x:c r="V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  <x:c r="K107" s="160"/>
      <x:c r="L107" s="160"/>
      <x:c r="M107" s="160"/>
      <x:c r="N107" s="160"/>
      <x:c r="O107" s="160"/>
      <x:c r="P107" s="160"/>
      <x:c r="Q107" s="160"/>
      <x:c r="R107" s="160"/>
      <x:c r="S107" s="160"/>
      <x:c r="T107" s="160"/>
      <x:c r="U107" s="161"/>
      <x:c r="V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  <x:c r="K108" s="160"/>
      <x:c r="L108" s="160"/>
      <x:c r="M108" s="160"/>
      <x:c r="N108" s="160"/>
      <x:c r="O108" s="160"/>
      <x:c r="P108" s="160"/>
      <x:c r="Q108" s="160"/>
      <x:c r="R108" s="160"/>
      <x:c r="S108" s="160"/>
      <x:c r="T108" s="160"/>
      <x:c r="U108" s="161"/>
      <x:c r="V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  <x:c r="K109" s="160"/>
      <x:c r="L109" s="160"/>
      <x:c r="M109" s="160"/>
      <x:c r="N109" s="160"/>
      <x:c r="O109" s="160"/>
      <x:c r="P109" s="160"/>
      <x:c r="Q109" s="160"/>
      <x:c r="R109" s="160"/>
      <x:c r="S109" s="160"/>
      <x:c r="T109" s="160"/>
      <x:c r="U109" s="161"/>
      <x:c r="V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  <x:c r="K110" s="160"/>
      <x:c r="L110" s="160"/>
      <x:c r="M110" s="160"/>
      <x:c r="N110" s="160"/>
      <x:c r="O110" s="160"/>
      <x:c r="P110" s="160"/>
      <x:c r="Q110" s="160"/>
      <x:c r="R110" s="160"/>
      <x:c r="S110" s="160"/>
      <x:c r="T110" s="160"/>
      <x:c r="U110" s="161"/>
      <x:c r="V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  <x:c r="K111" s="160"/>
      <x:c r="L111" s="160"/>
      <x:c r="M111" s="160"/>
      <x:c r="N111" s="160"/>
      <x:c r="O111" s="160"/>
      <x:c r="P111" s="160"/>
      <x:c r="Q111" s="160"/>
      <x:c r="R111" s="160"/>
      <x:c r="S111" s="160"/>
      <x:c r="T111" s="160"/>
      <x:c r="U111" s="161"/>
      <x:c r="V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  <x:c r="K112" s="160"/>
      <x:c r="L112" s="160"/>
      <x:c r="M112" s="160"/>
      <x:c r="N112" s="160"/>
      <x:c r="O112" s="160"/>
      <x:c r="P112" s="160"/>
      <x:c r="Q112" s="160"/>
      <x:c r="R112" s="160"/>
      <x:c r="S112" s="160"/>
      <x:c r="T112" s="160"/>
      <x:c r="U112" s="161"/>
      <x:c r="V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  <x:c r="K113" s="160"/>
      <x:c r="L113" s="160"/>
      <x:c r="M113" s="160"/>
      <x:c r="N113" s="160"/>
      <x:c r="O113" s="160"/>
      <x:c r="P113" s="160"/>
      <x:c r="Q113" s="160"/>
      <x:c r="R113" s="160"/>
      <x:c r="S113" s="160"/>
      <x:c r="T113" s="160"/>
      <x:c r="U113" s="161"/>
      <x:c r="V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  <x:c r="K114" s="160"/>
      <x:c r="L114" s="160"/>
      <x:c r="M114" s="160"/>
      <x:c r="N114" s="160"/>
      <x:c r="O114" s="160"/>
      <x:c r="P114" s="160"/>
      <x:c r="Q114" s="160"/>
      <x:c r="R114" s="160"/>
      <x:c r="S114" s="160"/>
      <x:c r="T114" s="160"/>
      <x:c r="U114" s="161"/>
      <x:c r="V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  <x:c r="K115" s="160"/>
      <x:c r="L115" s="160"/>
      <x:c r="M115" s="160"/>
      <x:c r="N115" s="160"/>
      <x:c r="O115" s="160"/>
      <x:c r="P115" s="160"/>
      <x:c r="Q115" s="160"/>
      <x:c r="R115" s="160"/>
      <x:c r="S115" s="160"/>
      <x:c r="T115" s="160"/>
      <x:c r="U115" s="161"/>
      <x:c r="V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  <x:c r="K116" s="160"/>
      <x:c r="L116" s="160"/>
      <x:c r="M116" s="160"/>
      <x:c r="N116" s="160"/>
      <x:c r="O116" s="160"/>
      <x:c r="P116" s="160"/>
      <x:c r="Q116" s="160"/>
      <x:c r="R116" s="160"/>
      <x:c r="S116" s="160"/>
      <x:c r="T116" s="160"/>
      <x:c r="U116" s="161"/>
      <x:c r="V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  <x:c r="K117" s="160"/>
      <x:c r="L117" s="160"/>
      <x:c r="M117" s="160"/>
      <x:c r="N117" s="160"/>
      <x:c r="O117" s="160"/>
      <x:c r="P117" s="160"/>
      <x:c r="Q117" s="160"/>
      <x:c r="R117" s="160"/>
      <x:c r="S117" s="160"/>
      <x:c r="T117" s="160"/>
      <x:c r="U117" s="161"/>
      <x:c r="V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  <x:c r="K118" s="160"/>
      <x:c r="L118" s="160"/>
      <x:c r="M118" s="160"/>
      <x:c r="N118" s="160"/>
      <x:c r="O118" s="160"/>
      <x:c r="P118" s="160"/>
      <x:c r="Q118" s="160"/>
      <x:c r="R118" s="160"/>
      <x:c r="S118" s="160"/>
      <x:c r="T118" s="160"/>
      <x:c r="U118" s="161"/>
      <x:c r="V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  <x:c r="K119" s="160"/>
      <x:c r="L119" s="160"/>
      <x:c r="M119" s="160"/>
      <x:c r="N119" s="160"/>
      <x:c r="O119" s="160"/>
      <x:c r="P119" s="160"/>
      <x:c r="Q119" s="160"/>
      <x:c r="R119" s="160"/>
      <x:c r="S119" s="160"/>
      <x:c r="T119" s="160"/>
      <x:c r="U119" s="161"/>
      <x:c r="V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  <x:c r="K120" s="160"/>
      <x:c r="L120" s="160"/>
      <x:c r="M120" s="160"/>
      <x:c r="N120" s="160"/>
      <x:c r="O120" s="160"/>
      <x:c r="P120" s="160"/>
      <x:c r="Q120" s="160"/>
      <x:c r="R120" s="160"/>
      <x:c r="S120" s="160"/>
      <x:c r="T120" s="160"/>
      <x:c r="U120" s="161"/>
      <x:c r="V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  <x:c r="K121" s="160"/>
      <x:c r="L121" s="160"/>
      <x:c r="M121" s="160"/>
      <x:c r="N121" s="160"/>
      <x:c r="O121" s="160"/>
      <x:c r="P121" s="160"/>
      <x:c r="Q121" s="160"/>
      <x:c r="R121" s="160"/>
      <x:c r="S121" s="160"/>
      <x:c r="T121" s="160"/>
      <x:c r="U121" s="161"/>
      <x:c r="V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  <x:c r="K122" s="160"/>
      <x:c r="L122" s="160"/>
      <x:c r="M122" s="160"/>
      <x:c r="N122" s="160"/>
      <x:c r="O122" s="160"/>
      <x:c r="P122" s="160"/>
      <x:c r="Q122" s="160"/>
      <x:c r="R122" s="160"/>
      <x:c r="S122" s="160"/>
      <x:c r="T122" s="160"/>
      <x:c r="U122" s="161"/>
      <x:c r="V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  <x:c r="K123" s="160"/>
      <x:c r="L123" s="160"/>
      <x:c r="M123" s="160"/>
      <x:c r="N123" s="160"/>
      <x:c r="O123" s="160"/>
      <x:c r="P123" s="160"/>
      <x:c r="Q123" s="160"/>
      <x:c r="R123" s="160"/>
      <x:c r="S123" s="160"/>
      <x:c r="T123" s="160"/>
      <x:c r="U123" s="161"/>
      <x:c r="V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  <x:c r="K124" s="160"/>
      <x:c r="L124" s="160"/>
      <x:c r="M124" s="160"/>
      <x:c r="N124" s="160"/>
      <x:c r="O124" s="160"/>
      <x:c r="P124" s="160"/>
      <x:c r="Q124" s="160"/>
      <x:c r="R124" s="160"/>
      <x:c r="S124" s="160"/>
      <x:c r="T124" s="160"/>
      <x:c r="U124" s="161"/>
      <x:c r="V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  <x:c r="K125" s="160"/>
      <x:c r="L125" s="160"/>
      <x:c r="M125" s="160"/>
      <x:c r="N125" s="160"/>
      <x:c r="O125" s="160"/>
      <x:c r="P125" s="160"/>
      <x:c r="Q125" s="160"/>
      <x:c r="R125" s="160"/>
      <x:c r="S125" s="160"/>
      <x:c r="T125" s="160"/>
      <x:c r="U125" s="161"/>
      <x:c r="V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  <x:c r="K126" s="160"/>
      <x:c r="L126" s="160"/>
      <x:c r="M126" s="160"/>
      <x:c r="N126" s="160"/>
      <x:c r="O126" s="160"/>
      <x:c r="P126" s="160"/>
      <x:c r="Q126" s="160"/>
      <x:c r="R126" s="160"/>
      <x:c r="S126" s="160"/>
      <x:c r="T126" s="160"/>
      <x:c r="U126" s="161"/>
      <x:c r="V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  <x:c r="K127" s="160"/>
      <x:c r="L127" s="160"/>
      <x:c r="M127" s="160"/>
      <x:c r="N127" s="160"/>
      <x:c r="O127" s="160"/>
      <x:c r="P127" s="160"/>
      <x:c r="Q127" s="160"/>
      <x:c r="R127" s="160"/>
      <x:c r="S127" s="160"/>
      <x:c r="T127" s="160"/>
      <x:c r="U127" s="161"/>
      <x:c r="V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  <x:c r="K128" s="160"/>
      <x:c r="L128" s="160"/>
      <x:c r="M128" s="160"/>
      <x:c r="N128" s="160"/>
      <x:c r="O128" s="160"/>
      <x:c r="P128" s="160"/>
      <x:c r="Q128" s="160"/>
      <x:c r="R128" s="160"/>
      <x:c r="S128" s="160"/>
      <x:c r="T128" s="160"/>
      <x:c r="U128" s="161"/>
      <x:c r="V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  <x:c r="K129" s="160"/>
      <x:c r="L129" s="160"/>
      <x:c r="M129" s="160"/>
      <x:c r="N129" s="160"/>
      <x:c r="O129" s="160"/>
      <x:c r="P129" s="160"/>
      <x:c r="Q129" s="160"/>
      <x:c r="R129" s="160"/>
      <x:c r="S129" s="160"/>
      <x:c r="T129" s="160"/>
      <x:c r="U129" s="161"/>
      <x:c r="V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  <x:c r="K130" s="160"/>
      <x:c r="L130" s="160"/>
      <x:c r="M130" s="160"/>
      <x:c r="N130" s="160"/>
      <x:c r="O130" s="160"/>
      <x:c r="P130" s="160"/>
      <x:c r="Q130" s="160"/>
      <x:c r="R130" s="160"/>
      <x:c r="S130" s="160"/>
      <x:c r="T130" s="160"/>
      <x:c r="U130" s="161"/>
      <x:c r="V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  <x:c r="K131" s="160"/>
      <x:c r="L131" s="160"/>
      <x:c r="M131" s="160"/>
      <x:c r="N131" s="160"/>
      <x:c r="O131" s="160"/>
      <x:c r="P131" s="160"/>
      <x:c r="Q131" s="160"/>
      <x:c r="R131" s="160"/>
      <x:c r="S131" s="160"/>
      <x:c r="T131" s="160"/>
      <x:c r="U131" s="161"/>
      <x:c r="V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  <x:c r="K132" s="160"/>
      <x:c r="L132" s="160"/>
      <x:c r="M132" s="160"/>
      <x:c r="N132" s="160"/>
      <x:c r="O132" s="160"/>
      <x:c r="P132" s="160"/>
      <x:c r="Q132" s="160"/>
      <x:c r="R132" s="160"/>
      <x:c r="S132" s="160"/>
      <x:c r="T132" s="160"/>
      <x:c r="U132" s="161"/>
      <x:c r="V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  <x:c r="K133" s="160"/>
      <x:c r="L133" s="160"/>
      <x:c r="M133" s="160"/>
      <x:c r="N133" s="160"/>
      <x:c r="O133" s="160"/>
      <x:c r="P133" s="160"/>
      <x:c r="Q133" s="160"/>
      <x:c r="R133" s="160"/>
      <x:c r="S133" s="160"/>
      <x:c r="T133" s="160"/>
      <x:c r="U133" s="161"/>
      <x:c r="V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  <x:c r="K134" s="160"/>
      <x:c r="L134" s="160"/>
      <x:c r="M134" s="160"/>
      <x:c r="N134" s="160"/>
      <x:c r="O134" s="160"/>
      <x:c r="P134" s="160"/>
      <x:c r="Q134" s="160"/>
      <x:c r="R134" s="160"/>
      <x:c r="S134" s="160"/>
      <x:c r="T134" s="160"/>
      <x:c r="U134" s="161"/>
      <x:c r="V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  <x:c r="K135" s="160"/>
      <x:c r="L135" s="160"/>
      <x:c r="M135" s="160"/>
      <x:c r="N135" s="160"/>
      <x:c r="O135" s="160"/>
      <x:c r="P135" s="160"/>
      <x:c r="Q135" s="160"/>
      <x:c r="R135" s="160"/>
      <x:c r="S135" s="160"/>
      <x:c r="T135" s="160"/>
      <x:c r="U135" s="161"/>
      <x:c r="V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  <x:c r="K136" s="160"/>
      <x:c r="L136" s="160"/>
      <x:c r="M136" s="160"/>
      <x:c r="N136" s="160"/>
      <x:c r="O136" s="160"/>
      <x:c r="P136" s="160"/>
      <x:c r="Q136" s="160"/>
      <x:c r="R136" s="160"/>
      <x:c r="S136" s="160"/>
      <x:c r="T136" s="160"/>
      <x:c r="U136" s="161"/>
      <x:c r="V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  <x:c r="K137" s="160"/>
      <x:c r="L137" s="160"/>
      <x:c r="M137" s="160"/>
      <x:c r="N137" s="160"/>
      <x:c r="O137" s="160"/>
      <x:c r="P137" s="160"/>
      <x:c r="Q137" s="160"/>
      <x:c r="R137" s="160"/>
      <x:c r="S137" s="160"/>
      <x:c r="T137" s="160"/>
      <x:c r="U137" s="161"/>
      <x:c r="V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  <x:c r="K138" s="160"/>
      <x:c r="L138" s="160"/>
      <x:c r="M138" s="160"/>
      <x:c r="N138" s="160"/>
      <x:c r="O138" s="160"/>
      <x:c r="P138" s="160"/>
      <x:c r="Q138" s="160"/>
      <x:c r="R138" s="160"/>
      <x:c r="S138" s="160"/>
      <x:c r="T138" s="160"/>
      <x:c r="U138" s="161"/>
      <x:c r="V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  <x:c r="K139" s="160"/>
      <x:c r="L139" s="160"/>
      <x:c r="M139" s="160"/>
      <x:c r="N139" s="160"/>
      <x:c r="O139" s="160"/>
      <x:c r="P139" s="160"/>
      <x:c r="Q139" s="160"/>
      <x:c r="R139" s="160"/>
      <x:c r="S139" s="160"/>
      <x:c r="T139" s="160"/>
      <x:c r="U139" s="161"/>
      <x:c r="V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  <x:c r="K140" s="160"/>
      <x:c r="L140" s="160"/>
      <x:c r="M140" s="160"/>
      <x:c r="N140" s="160"/>
      <x:c r="O140" s="160"/>
      <x:c r="P140" s="160"/>
      <x:c r="Q140" s="160"/>
      <x:c r="R140" s="160"/>
      <x:c r="S140" s="160"/>
      <x:c r="T140" s="160"/>
      <x:c r="U140" s="161"/>
      <x:c r="V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  <x:c r="K141" s="160"/>
      <x:c r="L141" s="160"/>
      <x:c r="M141" s="160"/>
      <x:c r="N141" s="160"/>
      <x:c r="O141" s="160"/>
      <x:c r="P141" s="160"/>
      <x:c r="Q141" s="160"/>
      <x:c r="R141" s="160"/>
      <x:c r="S141" s="160"/>
      <x:c r="T141" s="160"/>
      <x:c r="U141" s="161"/>
      <x:c r="V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  <x:c r="K142" s="160"/>
      <x:c r="L142" s="160"/>
      <x:c r="M142" s="160"/>
      <x:c r="N142" s="160"/>
      <x:c r="O142" s="160"/>
      <x:c r="P142" s="160"/>
      <x:c r="Q142" s="160"/>
      <x:c r="R142" s="160"/>
      <x:c r="S142" s="160"/>
      <x:c r="T142" s="160"/>
      <x:c r="U142" s="161"/>
      <x:c r="V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  <x:c r="K143" s="160"/>
      <x:c r="L143" s="160"/>
      <x:c r="M143" s="160"/>
      <x:c r="N143" s="160"/>
      <x:c r="O143" s="160"/>
      <x:c r="P143" s="160"/>
      <x:c r="Q143" s="160"/>
      <x:c r="R143" s="160"/>
      <x:c r="S143" s="160"/>
      <x:c r="T143" s="160"/>
      <x:c r="U143" s="161"/>
      <x:c r="V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  <x:c r="K144" s="160"/>
      <x:c r="L144" s="160"/>
      <x:c r="M144" s="160"/>
      <x:c r="N144" s="160"/>
      <x:c r="O144" s="160"/>
      <x:c r="P144" s="160"/>
      <x:c r="Q144" s="160"/>
      <x:c r="R144" s="160"/>
      <x:c r="S144" s="160"/>
      <x:c r="T144" s="160"/>
      <x:c r="U144" s="161"/>
      <x:c r="V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  <x:c r="K145" s="160"/>
      <x:c r="L145" s="160"/>
      <x:c r="M145" s="160"/>
      <x:c r="N145" s="160"/>
      <x:c r="O145" s="160"/>
      <x:c r="P145" s="160"/>
      <x:c r="Q145" s="160"/>
      <x:c r="R145" s="160"/>
      <x:c r="S145" s="160"/>
      <x:c r="T145" s="160"/>
      <x:c r="U145" s="161"/>
      <x:c r="V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  <x:c r="K146" s="160"/>
      <x:c r="L146" s="160"/>
      <x:c r="M146" s="160"/>
      <x:c r="N146" s="160"/>
      <x:c r="O146" s="160"/>
      <x:c r="P146" s="160"/>
      <x:c r="Q146" s="160"/>
      <x:c r="R146" s="160"/>
      <x:c r="S146" s="160"/>
      <x:c r="T146" s="160"/>
      <x:c r="U146" s="161"/>
      <x:c r="V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  <x:c r="K147" s="160"/>
      <x:c r="L147" s="160"/>
      <x:c r="M147" s="160"/>
      <x:c r="N147" s="160"/>
      <x:c r="O147" s="160"/>
      <x:c r="P147" s="160"/>
      <x:c r="Q147" s="160"/>
      <x:c r="R147" s="160"/>
      <x:c r="S147" s="160"/>
      <x:c r="T147" s="160"/>
      <x:c r="U147" s="161"/>
      <x:c r="V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  <x:c r="K148" s="160"/>
      <x:c r="L148" s="160"/>
      <x:c r="M148" s="160"/>
      <x:c r="N148" s="160"/>
      <x:c r="O148" s="160"/>
      <x:c r="P148" s="160"/>
      <x:c r="Q148" s="160"/>
      <x:c r="R148" s="160"/>
      <x:c r="S148" s="160"/>
      <x:c r="T148" s="160"/>
      <x:c r="U148" s="161"/>
      <x:c r="V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  <x:c r="K149" s="160"/>
      <x:c r="L149" s="160"/>
      <x:c r="M149" s="160"/>
      <x:c r="N149" s="160"/>
      <x:c r="O149" s="160"/>
      <x:c r="P149" s="160"/>
      <x:c r="Q149" s="160"/>
      <x:c r="R149" s="160"/>
      <x:c r="S149" s="160"/>
      <x:c r="T149" s="160"/>
      <x:c r="U149" s="161"/>
      <x:c r="V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  <x:c r="K150" s="160"/>
      <x:c r="L150" s="160"/>
      <x:c r="M150" s="160"/>
      <x:c r="N150" s="160"/>
      <x:c r="O150" s="160"/>
      <x:c r="P150" s="160"/>
      <x:c r="Q150" s="160"/>
      <x:c r="R150" s="160"/>
      <x:c r="S150" s="160"/>
      <x:c r="T150" s="160"/>
      <x:c r="U150" s="161"/>
      <x:c r="V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  <x:c r="K151" s="160"/>
      <x:c r="L151" s="160"/>
      <x:c r="M151" s="160"/>
      <x:c r="N151" s="160"/>
      <x:c r="O151" s="160"/>
      <x:c r="P151" s="160"/>
      <x:c r="Q151" s="160"/>
      <x:c r="R151" s="160"/>
      <x:c r="S151" s="160"/>
      <x:c r="T151" s="160"/>
      <x:c r="U151" s="161"/>
      <x:c r="V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  <x:c r="K152" s="160"/>
      <x:c r="L152" s="160"/>
      <x:c r="M152" s="160"/>
      <x:c r="N152" s="160"/>
      <x:c r="O152" s="160"/>
      <x:c r="P152" s="160"/>
      <x:c r="Q152" s="160"/>
      <x:c r="R152" s="160"/>
      <x:c r="S152" s="160"/>
      <x:c r="T152" s="160"/>
      <x:c r="U152" s="161"/>
      <x:c r="V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  <x:c r="K153" s="160"/>
      <x:c r="L153" s="160"/>
      <x:c r="M153" s="160"/>
      <x:c r="N153" s="160"/>
      <x:c r="O153" s="160"/>
      <x:c r="P153" s="160"/>
      <x:c r="Q153" s="160"/>
      <x:c r="R153" s="160"/>
      <x:c r="S153" s="160"/>
      <x:c r="T153" s="160"/>
      <x:c r="U153" s="161"/>
      <x:c r="V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  <x:c r="K154" s="160"/>
      <x:c r="L154" s="160"/>
      <x:c r="M154" s="160"/>
      <x:c r="N154" s="160"/>
      <x:c r="O154" s="160"/>
      <x:c r="P154" s="160"/>
      <x:c r="Q154" s="160"/>
      <x:c r="R154" s="160"/>
      <x:c r="S154" s="160"/>
      <x:c r="T154" s="160"/>
      <x:c r="U154" s="161"/>
      <x:c r="V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  <x:c r="K155" s="160"/>
      <x:c r="L155" s="160"/>
      <x:c r="M155" s="160"/>
      <x:c r="N155" s="160"/>
      <x:c r="O155" s="160"/>
      <x:c r="P155" s="160"/>
      <x:c r="Q155" s="160"/>
      <x:c r="R155" s="160"/>
      <x:c r="S155" s="160"/>
      <x:c r="T155" s="160"/>
      <x:c r="U155" s="161"/>
      <x:c r="V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  <x:c r="K156" s="160"/>
      <x:c r="L156" s="160"/>
      <x:c r="M156" s="160"/>
      <x:c r="N156" s="160"/>
      <x:c r="O156" s="160"/>
      <x:c r="P156" s="160"/>
      <x:c r="Q156" s="160"/>
      <x:c r="R156" s="160"/>
      <x:c r="S156" s="160"/>
      <x:c r="T156" s="160"/>
      <x:c r="U156" s="161"/>
      <x:c r="V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  <x:c r="K157" s="160"/>
      <x:c r="L157" s="160"/>
      <x:c r="M157" s="160"/>
      <x:c r="N157" s="160"/>
      <x:c r="O157" s="160"/>
      <x:c r="P157" s="160"/>
      <x:c r="Q157" s="160"/>
      <x:c r="R157" s="160"/>
      <x:c r="S157" s="160"/>
      <x:c r="T157" s="160"/>
      <x:c r="U157" s="161"/>
      <x:c r="V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  <x:c r="K158" s="160"/>
      <x:c r="L158" s="160"/>
      <x:c r="M158" s="160"/>
      <x:c r="N158" s="160"/>
      <x:c r="O158" s="160"/>
      <x:c r="P158" s="160"/>
      <x:c r="Q158" s="160"/>
      <x:c r="R158" s="160"/>
      <x:c r="S158" s="160"/>
      <x:c r="T158" s="160"/>
      <x:c r="U158" s="161"/>
      <x:c r="V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  <x:c r="K159" s="160"/>
      <x:c r="L159" s="160"/>
      <x:c r="M159" s="160"/>
      <x:c r="N159" s="160"/>
      <x:c r="O159" s="160"/>
      <x:c r="P159" s="160"/>
      <x:c r="Q159" s="160"/>
      <x:c r="R159" s="160"/>
      <x:c r="S159" s="160"/>
      <x:c r="T159" s="160"/>
      <x:c r="U159" s="161"/>
      <x:c r="V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  <x:c r="K160" s="160"/>
      <x:c r="L160" s="160"/>
      <x:c r="M160" s="160"/>
      <x:c r="N160" s="160"/>
      <x:c r="O160" s="160"/>
      <x:c r="P160" s="160"/>
      <x:c r="Q160" s="160"/>
      <x:c r="R160" s="160"/>
      <x:c r="S160" s="160"/>
      <x:c r="T160" s="160"/>
      <x:c r="U160" s="161"/>
      <x:c r="V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  <x:c r="K161" s="160"/>
      <x:c r="L161" s="160"/>
      <x:c r="M161" s="160"/>
      <x:c r="N161" s="160"/>
      <x:c r="O161" s="160"/>
      <x:c r="P161" s="160"/>
      <x:c r="Q161" s="160"/>
      <x:c r="R161" s="160"/>
      <x:c r="S161" s="160"/>
      <x:c r="T161" s="160"/>
      <x:c r="U161" s="161"/>
      <x:c r="V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  <x:c r="K162" s="160"/>
      <x:c r="L162" s="160"/>
      <x:c r="M162" s="160"/>
      <x:c r="N162" s="160"/>
      <x:c r="O162" s="160"/>
      <x:c r="P162" s="160"/>
      <x:c r="Q162" s="160"/>
      <x:c r="R162" s="160"/>
      <x:c r="S162" s="160"/>
      <x:c r="T162" s="160"/>
      <x:c r="U162" s="161"/>
      <x:c r="V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  <x:c r="K163" s="160"/>
      <x:c r="L163" s="160"/>
      <x:c r="M163" s="160"/>
      <x:c r="N163" s="160"/>
      <x:c r="O163" s="160"/>
      <x:c r="P163" s="160"/>
      <x:c r="Q163" s="160"/>
      <x:c r="R163" s="160"/>
      <x:c r="S163" s="160"/>
      <x:c r="T163" s="160"/>
      <x:c r="U163" s="161"/>
      <x:c r="V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  <x:c r="K164" s="160"/>
      <x:c r="L164" s="160"/>
      <x:c r="M164" s="160"/>
      <x:c r="N164" s="160"/>
      <x:c r="O164" s="160"/>
      <x:c r="P164" s="160"/>
      <x:c r="Q164" s="160"/>
      <x:c r="R164" s="160"/>
      <x:c r="S164" s="160"/>
      <x:c r="T164" s="160"/>
      <x:c r="U164" s="161"/>
      <x:c r="V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  <x:c r="K165" s="160"/>
      <x:c r="L165" s="160"/>
      <x:c r="M165" s="160"/>
      <x:c r="N165" s="160"/>
      <x:c r="O165" s="160"/>
      <x:c r="P165" s="160"/>
      <x:c r="Q165" s="160"/>
      <x:c r="R165" s="160"/>
      <x:c r="S165" s="160"/>
      <x:c r="T165" s="160"/>
      <x:c r="U165" s="161"/>
      <x:c r="V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  <x:c r="K166" s="160"/>
      <x:c r="L166" s="160"/>
      <x:c r="M166" s="160"/>
      <x:c r="N166" s="160"/>
      <x:c r="O166" s="160"/>
      <x:c r="P166" s="160"/>
      <x:c r="Q166" s="160"/>
      <x:c r="R166" s="160"/>
      <x:c r="S166" s="160"/>
      <x:c r="T166" s="160"/>
      <x:c r="U166" s="161"/>
      <x:c r="V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  <x:c r="K167" s="160"/>
      <x:c r="L167" s="160"/>
      <x:c r="M167" s="160"/>
      <x:c r="N167" s="160"/>
      <x:c r="O167" s="160"/>
      <x:c r="P167" s="160"/>
      <x:c r="Q167" s="160"/>
      <x:c r="R167" s="160"/>
      <x:c r="S167" s="160"/>
      <x:c r="T167" s="160"/>
      <x:c r="U167" s="161"/>
      <x:c r="V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  <x:c r="K168" s="160"/>
      <x:c r="L168" s="160"/>
      <x:c r="M168" s="160"/>
      <x:c r="N168" s="160"/>
      <x:c r="O168" s="160"/>
      <x:c r="P168" s="160"/>
      <x:c r="Q168" s="160"/>
      <x:c r="R168" s="160"/>
      <x:c r="S168" s="160"/>
      <x:c r="T168" s="160"/>
      <x:c r="U168" s="161"/>
      <x:c r="V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  <x:c r="K169" s="160"/>
      <x:c r="L169" s="160"/>
      <x:c r="M169" s="160"/>
      <x:c r="N169" s="160"/>
      <x:c r="O169" s="160"/>
      <x:c r="P169" s="160"/>
      <x:c r="Q169" s="160"/>
      <x:c r="R169" s="160"/>
      <x:c r="S169" s="160"/>
      <x:c r="T169" s="160"/>
      <x:c r="U169" s="161"/>
      <x:c r="V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  <x:c r="K170" s="160"/>
      <x:c r="L170" s="160"/>
      <x:c r="M170" s="160"/>
      <x:c r="N170" s="160"/>
      <x:c r="O170" s="160"/>
      <x:c r="P170" s="160"/>
      <x:c r="Q170" s="160"/>
      <x:c r="R170" s="160"/>
      <x:c r="S170" s="160"/>
      <x:c r="T170" s="160"/>
      <x:c r="U170" s="161"/>
      <x:c r="V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  <x:c r="K171" s="160"/>
      <x:c r="L171" s="160"/>
      <x:c r="M171" s="160"/>
      <x:c r="N171" s="160"/>
      <x:c r="O171" s="160"/>
      <x:c r="P171" s="160"/>
      <x:c r="Q171" s="160"/>
      <x:c r="R171" s="160"/>
      <x:c r="S171" s="160"/>
      <x:c r="T171" s="160"/>
      <x:c r="U171" s="161"/>
      <x:c r="V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  <x:c r="K172" s="160"/>
      <x:c r="L172" s="160"/>
      <x:c r="M172" s="160"/>
      <x:c r="N172" s="160"/>
      <x:c r="O172" s="160"/>
      <x:c r="P172" s="160"/>
      <x:c r="Q172" s="160"/>
      <x:c r="R172" s="160"/>
      <x:c r="S172" s="160"/>
      <x:c r="T172" s="160"/>
      <x:c r="U172" s="161"/>
      <x:c r="V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  <x:c r="K173" s="160"/>
      <x:c r="L173" s="160"/>
      <x:c r="M173" s="160"/>
      <x:c r="N173" s="160"/>
      <x:c r="O173" s="160"/>
      <x:c r="P173" s="160"/>
      <x:c r="Q173" s="160"/>
      <x:c r="R173" s="160"/>
      <x:c r="S173" s="160"/>
      <x:c r="T173" s="160"/>
      <x:c r="U173" s="161"/>
      <x:c r="V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  <x:c r="K174" s="160"/>
      <x:c r="L174" s="160"/>
      <x:c r="M174" s="160"/>
      <x:c r="N174" s="160"/>
      <x:c r="O174" s="160"/>
      <x:c r="P174" s="160"/>
      <x:c r="Q174" s="160"/>
      <x:c r="R174" s="160"/>
      <x:c r="S174" s="160"/>
      <x:c r="T174" s="160"/>
      <x:c r="U174" s="161"/>
      <x:c r="V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  <x:c r="K175" s="160"/>
      <x:c r="L175" s="160"/>
      <x:c r="M175" s="160"/>
      <x:c r="N175" s="160"/>
      <x:c r="O175" s="160"/>
      <x:c r="P175" s="160"/>
      <x:c r="Q175" s="160"/>
      <x:c r="R175" s="160"/>
      <x:c r="S175" s="160"/>
      <x:c r="T175" s="160"/>
      <x:c r="U175" s="161"/>
      <x:c r="V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  <x:c r="K176" s="160"/>
      <x:c r="L176" s="160"/>
      <x:c r="M176" s="160"/>
      <x:c r="N176" s="160"/>
      <x:c r="O176" s="160"/>
      <x:c r="P176" s="160"/>
      <x:c r="Q176" s="160"/>
      <x:c r="R176" s="160"/>
      <x:c r="S176" s="160"/>
      <x:c r="T176" s="160"/>
      <x:c r="U176" s="161"/>
      <x:c r="V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  <x:c r="K177" s="160"/>
      <x:c r="L177" s="160"/>
      <x:c r="M177" s="160"/>
      <x:c r="N177" s="160"/>
      <x:c r="O177" s="160"/>
      <x:c r="P177" s="160"/>
      <x:c r="Q177" s="160"/>
      <x:c r="R177" s="160"/>
      <x:c r="S177" s="160"/>
      <x:c r="T177" s="160"/>
      <x:c r="U177" s="161"/>
      <x:c r="V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  <x:c r="K178" s="160"/>
      <x:c r="L178" s="160"/>
      <x:c r="M178" s="160"/>
      <x:c r="N178" s="160"/>
      <x:c r="O178" s="160"/>
      <x:c r="P178" s="160"/>
      <x:c r="Q178" s="160"/>
      <x:c r="R178" s="160"/>
      <x:c r="S178" s="160"/>
      <x:c r="T178" s="160"/>
      <x:c r="U178" s="161"/>
      <x:c r="V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  <x:c r="K179" s="160"/>
      <x:c r="L179" s="160"/>
      <x:c r="M179" s="160"/>
      <x:c r="N179" s="160"/>
      <x:c r="O179" s="160"/>
      <x:c r="P179" s="160"/>
      <x:c r="Q179" s="160"/>
      <x:c r="R179" s="160"/>
      <x:c r="S179" s="160"/>
      <x:c r="T179" s="160"/>
      <x:c r="U179" s="161"/>
      <x:c r="V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  <x:c r="K180" s="160"/>
      <x:c r="L180" s="160"/>
      <x:c r="M180" s="160"/>
      <x:c r="N180" s="160"/>
      <x:c r="O180" s="160"/>
      <x:c r="P180" s="160"/>
      <x:c r="Q180" s="160"/>
      <x:c r="R180" s="160"/>
      <x:c r="S180" s="160"/>
      <x:c r="T180" s="160"/>
      <x:c r="U180" s="161"/>
      <x:c r="V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  <x:c r="K181" s="160"/>
      <x:c r="L181" s="160"/>
      <x:c r="M181" s="160"/>
      <x:c r="N181" s="160"/>
      <x:c r="O181" s="160"/>
      <x:c r="P181" s="160"/>
      <x:c r="Q181" s="160"/>
      <x:c r="R181" s="160"/>
      <x:c r="S181" s="160"/>
      <x:c r="T181" s="160"/>
      <x:c r="U181" s="161"/>
      <x:c r="V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  <x:c r="K182" s="160"/>
      <x:c r="L182" s="160"/>
      <x:c r="M182" s="160"/>
      <x:c r="N182" s="160"/>
      <x:c r="O182" s="160"/>
      <x:c r="P182" s="160"/>
      <x:c r="Q182" s="160"/>
      <x:c r="R182" s="160"/>
      <x:c r="S182" s="160"/>
      <x:c r="T182" s="160"/>
      <x:c r="U182" s="161"/>
      <x:c r="V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  <x:c r="K183" s="160"/>
      <x:c r="L183" s="160"/>
      <x:c r="M183" s="160"/>
      <x:c r="N183" s="160"/>
      <x:c r="O183" s="160"/>
      <x:c r="P183" s="160"/>
      <x:c r="Q183" s="160"/>
      <x:c r="R183" s="160"/>
      <x:c r="S183" s="160"/>
      <x:c r="T183" s="160"/>
      <x:c r="U183" s="161"/>
      <x:c r="V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  <x:c r="K184" s="160"/>
      <x:c r="L184" s="160"/>
      <x:c r="M184" s="160"/>
      <x:c r="N184" s="160"/>
      <x:c r="O184" s="160"/>
      <x:c r="P184" s="160"/>
      <x:c r="Q184" s="160"/>
      <x:c r="R184" s="160"/>
      <x:c r="S184" s="160"/>
      <x:c r="T184" s="160"/>
      <x:c r="U184" s="161"/>
      <x:c r="V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  <x:c r="K185" s="160"/>
      <x:c r="L185" s="160"/>
      <x:c r="M185" s="160"/>
      <x:c r="N185" s="160"/>
      <x:c r="O185" s="160"/>
      <x:c r="P185" s="160"/>
      <x:c r="Q185" s="160"/>
      <x:c r="R185" s="160"/>
      <x:c r="S185" s="160"/>
      <x:c r="T185" s="160"/>
      <x:c r="U185" s="161"/>
      <x:c r="V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  <x:c r="K186" s="160"/>
      <x:c r="L186" s="160"/>
      <x:c r="M186" s="160"/>
      <x:c r="N186" s="160"/>
      <x:c r="O186" s="160"/>
      <x:c r="P186" s="160"/>
      <x:c r="Q186" s="160"/>
      <x:c r="R186" s="160"/>
      <x:c r="S186" s="160"/>
      <x:c r="T186" s="160"/>
      <x:c r="U186" s="161"/>
      <x:c r="V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  <x:c r="K187" s="160"/>
      <x:c r="L187" s="160"/>
      <x:c r="M187" s="160"/>
      <x:c r="N187" s="160"/>
      <x:c r="O187" s="160"/>
      <x:c r="P187" s="160"/>
      <x:c r="Q187" s="160"/>
      <x:c r="R187" s="160"/>
      <x:c r="S187" s="160"/>
      <x:c r="T187" s="160"/>
      <x:c r="U187" s="161"/>
      <x:c r="V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  <x:c r="K188" s="160"/>
      <x:c r="L188" s="160"/>
      <x:c r="M188" s="160"/>
      <x:c r="N188" s="160"/>
      <x:c r="O188" s="160"/>
      <x:c r="P188" s="160"/>
      <x:c r="Q188" s="160"/>
      <x:c r="R188" s="160"/>
      <x:c r="S188" s="160"/>
      <x:c r="T188" s="160"/>
      <x:c r="U188" s="161"/>
      <x:c r="V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  <x:c r="K189" s="160"/>
      <x:c r="L189" s="160"/>
      <x:c r="M189" s="160"/>
      <x:c r="N189" s="160"/>
      <x:c r="O189" s="160"/>
      <x:c r="P189" s="160"/>
      <x:c r="Q189" s="160"/>
      <x:c r="R189" s="160"/>
      <x:c r="S189" s="160"/>
      <x:c r="T189" s="160"/>
      <x:c r="U189" s="161"/>
      <x:c r="V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  <x:c r="K190" s="160"/>
      <x:c r="L190" s="160"/>
      <x:c r="M190" s="160"/>
      <x:c r="N190" s="160"/>
      <x:c r="O190" s="160"/>
      <x:c r="P190" s="160"/>
      <x:c r="Q190" s="160"/>
      <x:c r="R190" s="160"/>
      <x:c r="S190" s="160"/>
      <x:c r="T190" s="160"/>
      <x:c r="U190" s="161"/>
      <x:c r="V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  <x:c r="K191" s="160"/>
      <x:c r="L191" s="160"/>
      <x:c r="M191" s="160"/>
      <x:c r="N191" s="160"/>
      <x:c r="O191" s="160"/>
      <x:c r="P191" s="160"/>
      <x:c r="Q191" s="160"/>
      <x:c r="R191" s="160"/>
      <x:c r="S191" s="160"/>
      <x:c r="T191" s="160"/>
      <x:c r="U191" s="161"/>
      <x:c r="V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  <x:c r="K192" s="160"/>
      <x:c r="L192" s="160"/>
      <x:c r="M192" s="160"/>
      <x:c r="N192" s="160"/>
      <x:c r="O192" s="160"/>
      <x:c r="P192" s="160"/>
      <x:c r="Q192" s="160"/>
      <x:c r="R192" s="160"/>
      <x:c r="S192" s="160"/>
      <x:c r="T192" s="160"/>
      <x:c r="U192" s="161"/>
      <x:c r="V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  <x:c r="K193" s="160"/>
      <x:c r="L193" s="160"/>
      <x:c r="M193" s="160"/>
      <x:c r="N193" s="160"/>
      <x:c r="O193" s="160"/>
      <x:c r="P193" s="160"/>
      <x:c r="Q193" s="160"/>
      <x:c r="R193" s="160"/>
      <x:c r="S193" s="160"/>
      <x:c r="T193" s="160"/>
      <x:c r="U193" s="161"/>
      <x:c r="V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  <x:c r="K194" s="160"/>
      <x:c r="L194" s="160"/>
      <x:c r="M194" s="160"/>
      <x:c r="N194" s="160"/>
      <x:c r="O194" s="160"/>
      <x:c r="P194" s="160"/>
      <x:c r="Q194" s="160"/>
      <x:c r="R194" s="160"/>
      <x:c r="S194" s="160"/>
      <x:c r="T194" s="160"/>
      <x:c r="U194" s="161"/>
      <x:c r="V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  <x:c r="K195" s="160"/>
      <x:c r="L195" s="160"/>
      <x:c r="M195" s="160"/>
      <x:c r="N195" s="160"/>
      <x:c r="O195" s="160"/>
      <x:c r="P195" s="160"/>
      <x:c r="Q195" s="160"/>
      <x:c r="R195" s="160"/>
      <x:c r="S195" s="160"/>
      <x:c r="T195" s="160"/>
      <x:c r="U195" s="161"/>
      <x:c r="V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  <x:c r="K196" s="160"/>
      <x:c r="L196" s="160"/>
      <x:c r="M196" s="160"/>
      <x:c r="N196" s="160"/>
      <x:c r="O196" s="160"/>
      <x:c r="P196" s="160"/>
      <x:c r="Q196" s="160"/>
      <x:c r="R196" s="160"/>
      <x:c r="S196" s="160"/>
      <x:c r="T196" s="160"/>
      <x:c r="U196" s="161"/>
      <x:c r="V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  <x:c r="K197" s="160"/>
      <x:c r="L197" s="160"/>
      <x:c r="M197" s="160"/>
      <x:c r="N197" s="160"/>
      <x:c r="O197" s="160"/>
      <x:c r="P197" s="160"/>
      <x:c r="Q197" s="160"/>
      <x:c r="R197" s="160"/>
      <x:c r="S197" s="160"/>
      <x:c r="T197" s="160"/>
      <x:c r="U197" s="161"/>
      <x:c r="V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  <x:c r="K198" s="160"/>
      <x:c r="L198" s="160"/>
      <x:c r="M198" s="160"/>
      <x:c r="N198" s="160"/>
      <x:c r="O198" s="160"/>
      <x:c r="P198" s="160"/>
      <x:c r="Q198" s="160"/>
      <x:c r="R198" s="160"/>
      <x:c r="S198" s="160"/>
      <x:c r="T198" s="160"/>
      <x:c r="U198" s="161"/>
      <x:c r="V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  <x:c r="K199" s="160"/>
      <x:c r="L199" s="160"/>
      <x:c r="M199" s="160"/>
      <x:c r="N199" s="160"/>
      <x:c r="O199" s="160"/>
      <x:c r="P199" s="160"/>
      <x:c r="Q199" s="160"/>
      <x:c r="R199" s="160"/>
      <x:c r="S199" s="160"/>
      <x:c r="T199" s="160"/>
      <x:c r="U199" s="161"/>
      <x:c r="V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  <x:c r="K200" s="160"/>
      <x:c r="L200" s="160"/>
      <x:c r="M200" s="160"/>
      <x:c r="N200" s="160"/>
      <x:c r="O200" s="160"/>
      <x:c r="P200" s="160"/>
      <x:c r="Q200" s="160"/>
      <x:c r="R200" s="160"/>
      <x:c r="S200" s="160"/>
      <x:c r="T200" s="160"/>
      <x:c r="U200" s="161"/>
      <x:c r="V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0"/>
      <x:c r="M201" s="160"/>
      <x:c r="N201" s="160"/>
      <x:c r="O201" s="160"/>
      <x:c r="P201" s="160"/>
      <x:c r="Q201" s="160"/>
      <x:c r="R201" s="160"/>
      <x:c r="S201" s="160"/>
      <x:c r="T201" s="160"/>
      <x:c r="U201" s="161"/>
      <x:c r="V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0"/>
      <x:c r="M202" s="160"/>
      <x:c r="N202" s="160"/>
      <x:c r="O202" s="160"/>
      <x:c r="P202" s="160"/>
      <x:c r="Q202" s="160"/>
      <x:c r="R202" s="160"/>
      <x:c r="S202" s="160"/>
      <x:c r="T202" s="160"/>
      <x:c r="U202" s="161"/>
      <x:c r="V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0"/>
      <x:c r="M203" s="160"/>
      <x:c r="N203" s="160"/>
      <x:c r="O203" s="160"/>
      <x:c r="P203" s="160"/>
      <x:c r="Q203" s="160"/>
      <x:c r="R203" s="160"/>
      <x:c r="S203" s="160"/>
      <x:c r="T203" s="160"/>
      <x:c r="U203" s="161"/>
      <x:c r="V203" s="160"/>
    </x:row>
  </x:sheetData>
  <x:mergeCells>
    <x:mergeCell ref="A1:V1"/>
    <x:mergeCell ref="A2:V2"/>
  </x:mergeCells>
  <x:conditionalFormatting sqref="M4:N203">
    <x:cfRule type="expression" dxfId="20" priority="8">
      <x:formula>LEFT(M4,1)="是"</x:formula>
    </x:cfRule>
  </x:conditionalFormatting>
  <x:conditionalFormatting sqref="N4:N203">
    <x:cfRule type="expression" dxfId="21" priority="9">
      <x:formula>LEFT(N4,1)="是"</x:formula>
    </x:cfRule>
  </x:conditionalFormatting>
  <x:conditionalFormatting sqref="A4:V203">
    <x:cfRule type="expression" dxfId="56" priority="10">
      <x:formula>AND($A4&lt;&gt;"",MOD(ROW(),2)=0)</x:formula>
    </x:cfRule>
  </x:conditionalFormatting>
  <x:conditionalFormatting sqref="K4:K203">
    <x:cfRule type="expression" dxfId="57" priority="11">
      <x:formula>K4="是"</x:formula>
    </x:cfRule>
    <x:cfRule type="expression" dxfId="58" priority="12">
      <x:formula>K4="否"</x:formula>
    </x:cfRule>
    <x:cfRule type="expression" dxfId="59" priority="13">
      <x:formula>LEFT(K4,4)="部分命中"</x:formula>
    </x:cfRule>
  </x:conditionalFormatting>
  <x:conditionalFormatting sqref="L4:L203">
    <x:cfRule type="expression" dxfId="60" priority="14">
      <x:formula>L4="是"</x:formula>
    </x:cfRule>
    <x:cfRule type="expression" dxfId="61" priority="15">
      <x:formula>L4="否"</x:formula>
    </x:cfRule>
  </x:conditionalFormatting>
  <x:conditionalFormatting sqref="P4:P203">
    <x:cfRule type="expression" dxfId="62" priority="16">
      <x:formula>ISNUMBER(SEARCH("红",P4))</x:formula>
    </x:cfRule>
    <x:cfRule type="expression" dxfId="63" priority="17">
      <x:formula>ISNUMBER(SEARCH("黑",P4))</x:formula>
    </x:cfRule>
  </x:conditionalFormatting>
  <x:conditionalFormatting sqref="Q4:Q203">
    <x:cfRule type="expression" dxfId="64" priority="18">
      <x:formula>Q4&lt;&gt;"否"</x:formula>
    </x:cfRule>
  </x:conditionalFormatting>
  <x:conditionalFormatting sqref="U4:U203">
    <x:cfRule type="colorScale" priority="19">
      <x:colorScale>
        <x:cfvo type="min"/>
        <x:cfvo type="percentile" val="50"/>
        <x:cfvo type="max"/>
        <x:color rgb="FFFDECEC"/>
        <x:color rgb="FFFFF4D6"/>
        <x:color rgb="FFE9F7EE"/>
      </x:colorScale>
    </x:cfRule>
  </x:conditionalFormatting>
  <x:dataValidations count="5">
    <x:dataValidation type="list" sqref="C4:C203">
      <x:formula1>"三维同向,两维同向一维中立,两维矛盾,三维混乱"</x:formula1>
    </x:dataValidation>
    <x:dataValidation type="list" sqref="K4:K203">
      <x:formula1>"是,否,部分命中,未投注,待定"</x:formula1>
    </x:dataValidation>
    <x:dataValidation type="list" sqref="L4:L203">
      <x:formula1>"是,否,待定"</x:formula1>
    </x:dataValidation>
    <x:dataValidation type="list" sqref="O4:O203">
      <x:formula1>"模型判断错误,盘口诱骗成功,赛中随机事件,执行偏差,无错误/命中,待定"</x:formula1>
    </x:dataValidation>
    <x:dataValidation type="list" sqref="Q4:Q203">
      <x:formula1>"否,是｜红牌,是｜点球,是｜伤病,是｜补时绝杀,是｜其他,未核到"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54c08265f244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20" hidden="0" customWidth="1"/>
    <x:col min="5" max="5" width="28" hidden="0" customWidth="1"/>
    <x:col min="6" max="6" width="28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2" hidden="0" customWidth="1"/>
    <x:col min="13" max="13" width="36" hidden="0" customWidth="1"/>
  </x:cols>
  <x:sheetData>
    <x:row r="1" ht="32" customHeight="1">
      <x:c r="A1" s="99" t="str">
        <x:v>03｜时间轴与盘口有效性验证｜验证锁单窗口、终盘变化与赛果方向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</x:row>
    <x:row r="2" ht="22" customHeight="1">
      <x:c r="A2" s="103" t="str">
        <x:v>检验锁单窗口、初终盘变化、经验库触发与赛果验证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</x:row>
    <x:row r="3" ht="36" customHeight="1">
      <x:c r="A3" s="153" t="str">
        <x:v>记录ID</x:v>
      </x:c>
      <x:c r="B3" s="153" t="str">
        <x:v>比赛ID与对阵</x:v>
      </x:c>
      <x:c r="C3" s="153" t="str">
        <x:v>开赛倒计时</x:v>
      </x:c>
      <x:c r="D3" s="153" t="str">
        <x:v>锁单窗口合规性</x:v>
      </x:c>
      <x:c r="E3" s="153" t="str">
        <x:v>初盘定位</x:v>
      </x:c>
      <x:c r="F3" s="153" t="str">
        <x:v>终盘定位（临场15min）</x:v>
      </x:c>
      <x:c r="G3" s="153" t="str">
        <x:v>终盘对比初盘变化</x:v>
      </x:c>
      <x:c r="H3" s="153" t="str">
        <x:v>经验库触发类型</x:v>
      </x:c>
      <x:c r="I3" s="153" t="str">
        <x:v>盘口变化与赛果方向</x:v>
      </x:c>
      <x:c r="J3" s="153" t="str">
        <x:v>欧亚理论盘型校验</x:v>
      </x:c>
      <x:c r="K3" s="153" t="str">
        <x:v>最终赛果验证</x:v>
      </x:c>
      <x:c r="L3" s="153" t="str">
        <x:v>数据完整度</x:v>
      </x:c>
      <x:c r="M3" s="153" t="str">
        <x:v>来源/备注</x:v>
      </x:c>
    </x:row>
    <x:row r="4" ht="56" customHeight="1">
      <x:c r="A4" s="160" t="str">
        <x:v>T001</x:v>
      </x:c>
      <x:c r="B4" s="160" t="str">
        <x:v>M001｜卡拉巴克 vs 维斯特瑞</x:v>
      </x:c>
      <x:c r="C4" s="160" t="str">
        <x:v>T-30m左右</x:v>
      </x:c>
      <x:c r="D4" s="160" t="str">
        <x:v>符合赛前SOP</x:v>
      </x:c>
      <x:c r="E4" s="160" t="str">
        <x:v>极深盘，约-3/-3.5区间</x:v>
      </x:c>
      <x:c r="F4" s="160" t="str">
        <x:v>未完整核到最终15m</x:v>
      </x:c>
      <x:c r="G4" s="160" t="str">
        <x:v>深盘维持，未见4球强防确认</x:v>
      </x:c>
      <x:c r="H4" s="160" t="str">
        <x:v>大盘升盘防下/深盘卡盘</x:v>
      </x:c>
      <x:c r="I4" s="160" t="str">
        <x:v>盘口指向大胜正确；4球右尾错误</x:v>
      </x:c>
      <x:c r="J4" s="160" t="str">
        <x:v>理论深盘合理，但实际更贴近卡3球</x:v>
      </x:c>
      <x:c r="K4" s="160" t="str">
        <x:v>3-0验证深盘卡盘</x:v>
      </x:c>
      <x:c r="L4" s="160" t="str">
        <x:v>中低</x:v>
      </x:c>
      <x:c r="M4" s="160" t="str">
        <x:v>用户截图与赛后复盘；正确比分/交易所未核到</x:v>
      </x:c>
    </x:row>
    <x:row r="5" ht="56" customHeight="1">
      <x:c r="A5" s="160" t="str">
        <x:v>T002</x:v>
      </x:c>
      <x:c r="B5" s="160" t="str">
        <x:v>M002｜基辅迪纳摩 vs 克卢日大学</x:v>
      </x:c>
      <x:c r="C5" s="160" t="str">
        <x:v>T-73m</x:v>
      </x:c>
      <x:c r="D5" s="160" t="str">
        <x:v>符合赛前SOP</x:v>
      </x:c>
      <x:c r="E5" s="160" t="str">
        <x:v>基辅-1附近</x:v>
      </x:c>
      <x:c r="F5" s="160" t="str">
        <x:v>未完整核到最终15m</x:v>
      </x:c>
      <x:c r="G5" s="160" t="str">
        <x:v>未形成-1.5强防</x:v>
      </x:c>
      <x:c r="H5" s="160" t="str">
        <x:v>首回合热门降λ/BTTS No重排</x:v>
      </x:c>
      <x:c r="I5" s="160" t="str">
        <x:v>主胜方向错误；低比分方向正确</x:v>
      </x:c>
      <x:c r="J5" s="160" t="str">
        <x:v>理论主胜盘未转化为进球兑现</x:v>
      </x:c>
      <x:c r="K5" s="160" t="str">
        <x:v>0-0验证热门打不开</x:v>
      </x:c>
      <x:c r="L5" s="160" t="str">
        <x:v>中低</x:v>
      </x:c>
      <x:c r="M5" s="160" t="str">
        <x:v>交易所与正确比分未核到</x:v>
      </x:c>
    </x:row>
    <x:row r="6" ht="56" customHeight="1">
      <x:c r="A6" s="160" t="str">
        <x:v>T003</x:v>
      </x:c>
      <x:c r="B6" s="160" t="str">
        <x:v>M003｜谢里夫 vs 亚穆尼积</x:v>
      </x:c>
      <x:c r="C6" s="160" t="str">
        <x:v>T-70m</x:v>
      </x:c>
      <x:c r="D6" s="160" t="str">
        <x:v>符合赛前SOP</x:v>
      </x:c>
      <x:c r="E6" s="160" t="str">
        <x:v>谢里夫-1附近</x:v>
      </x:c>
      <x:c r="F6" s="160" t="str">
        <x:v>未完整核到最终15m</x:v>
      </x:c>
      <x:c r="G6" s="160" t="str">
        <x:v>未形成强穿确认</x:v>
      </x:c>
      <x:c r="H6" s="160" t="str">
        <x:v>首回合热门降λ/BTTS No重排</x:v>
      </x:c>
      <x:c r="I6" s="160" t="str">
        <x:v>主胜方向错误；低比分方向正确</x:v>
      </x:c>
      <x:c r="J6" s="160" t="str">
        <x:v>理论盘未能解释进攻端低效</x:v>
      </x:c>
      <x:c r="K6" s="160" t="str">
        <x:v>0-0验证0球污染</x:v>
      </x:c>
      <x:c r="L6" s="160" t="str">
        <x:v>中低</x:v>
      </x:c>
      <x:c r="M6" s="160" t="str">
        <x:v>交易所与正确比分未核到</x:v>
      </x:c>
    </x:row>
    <x:row r="7" ht="56" customHeight="1">
      <x:c r="A7" s="160" t="str">
        <x:v>T004</x:v>
      </x:c>
      <x:c r="B7" s="160" t="str">
        <x:v>M004｜索陆军 vs 德里城</x:v>
      </x:c>
      <x:c r="C7" s="160" t="str">
        <x:v>T-125m</x:v>
      </x:c>
      <x:c r="D7" s="160" t="str">
        <x:v>符合赛前SOP</x:v>
      </x:c>
      <x:c r="E7" s="160" t="str">
        <x:v>索陆军-1.5</x:v>
      </x:c>
      <x:c r="F7" s="160" t="str">
        <x:v>未核到T-15；记录T-125m为-1.75附近</x:v>
      </x:c>
      <x:c r="G7" s="160" t="str">
        <x:v>升盘但深盘卡盘风险</x:v>
      </x:c>
      <x:c r="H7" s="160" t="str">
        <x:v>大盘升盘防下/强队胜与零封拆分</x:v>
      </x:c>
      <x:c r="I7" s="160" t="str">
        <x:v>主胜方向正确；BTTS/总球反向</x:v>
      </x:c>
      <x:c r="J7" s="160" t="str">
        <x:v>理论深盘支持主胜，不支持自动零封</x:v>
      </x:c>
      <x:c r="K7" s="160" t="str">
        <x:v>3-2验证主胜对、零封错</x:v>
      </x:c>
      <x:c r="L7" s="160" t="str">
        <x:v>中</x:v>
      </x:c>
      <x:c r="M7" s="160" t="str">
        <x:v>用户截图；未核最终15m</x:v>
      </x:c>
    </x:row>
    <x:row r="8" ht="56" customHeight="1">
      <x:c r="A8" s="160" t="str">
        <x:v>T005</x:v>
      </x:c>
      <x:c r="B8" s="160" t="str">
        <x:v>M005｜海杜克 vs 日利纳</x:v>
      </x:c>
      <x:c r="C8" s="160" t="str">
        <x:v>T-120m</x:v>
      </x:c>
      <x:c r="D8" s="160" t="str">
        <x:v>符合赛前SOP</x:v>
      </x:c>
      <x:c r="E8" s="160" t="str">
        <x:v>海杜克-1</x:v>
      </x:c>
      <x:c r="F8" s="160" t="str">
        <x:v>未核到T-15；记录T-120m为-1.25附近</x:v>
      </x:c>
      <x:c r="G8" s="160" t="str">
        <x:v>升盘，-1.5不追</x:v>
      </x:c>
      <x:c r="H8" s="160" t="str">
        <x:v>首回合热门右尾降权</x:v>
      </x:c>
      <x:c r="I8" s="160" t="str">
        <x:v>主胜与2球优势正确</x:v>
      </x:c>
      <x:c r="J8" s="160" t="str">
        <x:v>理论盘合理；2-0比3-0更贴近</x:v>
      </x:c>
      <x:c r="K8" s="160" t="str">
        <x:v>2-0验证卡两球</x:v>
      </x:c>
      <x:c r="L8" s="160" t="str">
        <x:v>中</x:v>
      </x:c>
      <x:c r="M8" s="160" t="str">
        <x:v>用户截图；未核最终15m</x:v>
      </x:c>
    </x:row>
    <x:row r="9" ht="56" customHeight="1">
      <x:c r="A9" s="160" t="str">
        <x:v>T006</x:v>
      </x:c>
      <x:c r="B9" s="160" t="str">
        <x:v>M006｜伏伊伏丁那 vs 费伦茨瓦罗斯</x:v>
      </x:c>
      <x:c r="C9" s="160" t="str">
        <x:v>T-116m</x:v>
      </x:c>
      <x:c r="D9" s="160" t="str">
        <x:v>符合赛前SOP</x:v>
      </x:c>
      <x:c r="E9" s="160" t="str">
        <x:v>客让0.25/0.5</x:v>
      </x:c>
      <x:c r="F9" s="160" t="str">
        <x:v>未核到T-15；记录回流主队/浅盘</x:v>
      </x:c>
      <x:c r="G9" s="160" t="str">
        <x:v>客队优势削弱</x:v>
      </x:c>
      <x:c r="H9" s="160" t="str">
        <x:v>客强浅盘/反诱与挡盘</x:v>
      </x:c>
      <x:c r="I9" s="160" t="str">
        <x:v>客不败方向正确，平局解释错误</x:v>
      </x:c>
      <x:c r="J9" s="160" t="str">
        <x:v>理论客让平半，实际浅盘并非必平</x:v>
      </x:c>
      <x:c r="K9" s="160" t="str">
        <x:v>1-2验证客胜降热</x:v>
      </x:c>
      <x:c r="L9" s="160" t="str">
        <x:v>中</x:v>
      </x:c>
      <x:c r="M9" s="160" t="str">
        <x:v>用户截图；未核最终15m</x:v>
      </x:c>
    </x:row>
    <x:row r="10" ht="56" customHeight="1">
      <x:c r="A10" s="160" t="str">
        <x:v>T007</x:v>
      </x:c>
      <x:c r="B10" s="160" t="str">
        <x:v>M007｜法国 vs 摩洛哥</x:v>
      </x:c>
      <x:c r="C10" s="160" t="str">
        <x:v>T-5m左右</x:v>
      </x:c>
      <x:c r="D10" s="160" t="str">
        <x:v>符合赛前SOP｜强临场</x:v>
      </x:c>
      <x:c r="E10" s="160" t="str">
        <x:v>法国-1；大小2.5</x:v>
      </x:c>
      <x:c r="F10" s="160" t="str">
        <x:v>法国-1中高水；摩洛哥+1低水；大小仍2.5</x:v>
      </x:c>
      <x:c r="G10" s="160" t="str">
        <x:v>主胜继续过热，但未升-1.25强防；大球低水回拉</x:v>
      </x:c>
      <x:c r="H10" s="160" t="str">
        <x:v>适中盘给中高水/热门堆叠/受让保护</x:v>
      </x:c>
      <x:c r="I10" s="160" t="str">
        <x:v>法国优势、小球方向正确；法国穿盘未出现</x:v>
      </x:c>
      <x:c r="J10" s="160" t="str">
        <x:v>欧赔理论-1与实际-1合理，水位显示赢一球/小比分</x:v>
      </x:c>
      <x:c r="K10" s="160" t="str">
        <x:v>法国2-0：主胜、小球、BTTS No验证；比分偏左</x:v>
      </x:c>
      <x:c r="L10" s="160" t="str">
        <x:v>高</x:v>
      </x:c>
      <x:c r="M10" s="160" t="str">
        <x:v>用户最后5分钟截图、必发成交与盈亏图</x:v>
      </x:c>
    </x:row>
    <x:row r="11" ht="54" customHeight="1">
      <x:c r="A11" s="249" t="str">
        <x:v>T009</x:v>
      </x:c>
      <x:c r="B11" s="249" t="str">
        <x:v>M009｜格尼斯坦 vs 玛丽港</x:v>
      </x:c>
      <x:c r="C11" s="249" t="str">
        <x:v>T-23m</x:v>
      </x:c>
      <x:c r="D11" s="249" t="str">
        <x:v>符合SOP｜因价格不合格未下注</x:v>
      </x:c>
      <x:c r="E11" s="249" t="str">
        <x:v>格尼斯坦-1/-1.25；大小2.5/3</x:v>
      </x:c>
      <x:c r="F11" s="249" t="str">
        <x:v>格尼斯坦-1.5约1.90；大小3/3.25</x:v>
      </x:c>
      <x:c r="G11" s="249" t="str">
        <x:v>让球、主胜与总球同步强化</x:v>
      </x:c>
      <x:c r="H11" s="249" t="str">
        <x:v>早盘升盘获临场确认/主胜与穿盘拆分/大球拥挤</x:v>
      </x:c>
      <x:c r="I11" s="249" t="str">
        <x:v>主队净胜两球方向正确；小球与BTTS判断错误</x:v>
      </x:c>
      <x:c r="J11" s="249" t="str">
        <x:v>理论-1.25低至-1.5高水；模型总λ3.07低估右尾</x:v>
      </x:c>
      <x:c r="K11" s="249" t="str">
        <x:v>4-2验证主队穿盘，也验证BTTS与6球右尾</x:v>
      </x:c>
      <x:c r="L11" s="249" t="str">
        <x:v>高</x:v>
      </x:c>
      <x:c r="M11" s="249" t="str">
        <x:v>赛果：https://www.fotmob.com/teams/2361/overview/if-gnistan</x:v>
      </x:c>
    </x:row>
    <x:row r="12">
      <x:c r="A12" s="160" t="str">
        <x:v>T010</x:v>
      </x:c>
      <x:c r="B12" s="160" t="str">
        <x:v>M010｜TPS土尔库 vs AC奥卢</x:v>
      </x:c>
      <x:c r="C12" s="160" t="str">
        <x:v>T-21m</x:v>
      </x:c>
      <x:c r="D12" s="160" t="str">
        <x:v>符合SOP｜22:00前未确认锁单</x:v>
      </x:c>
      <x:c r="E12" s="160" t="str">
        <x:v>奥卢-0.25/-0.5；大小2.5</x:v>
      </x:c>
      <x:c r="F12" s="160" t="str">
        <x:v>平手TPS低水；大小2.75小球低水</x:v>
      </x:c>
      <x:c r="G12" s="160" t="str">
        <x:v>欧亚完整转向TPS；总球升档</x:v>
      </x:c>
      <x:c r="H12" s="160" t="str">
        <x:v>客让退平/主队低水真实修正/3球边界</x:v>
      </x:c>
      <x:c r="I12" s="160" t="str">
        <x:v>TPS方向正确；小2.75恰好3球半黑</x:v>
      </x:c>
      <x:c r="J12" s="160" t="str">
        <x:v>理论平手TPS轻优；模型总λ2.61低估TPS单边输出</x:v>
      </x:c>
      <x:c r="K12" s="160" t="str">
        <x:v>3-0验证市场转向TPS，否定1-1与小球优先级</x:v>
      </x:c>
      <x:c r="L12" s="160" t="str">
        <x:v>高</x:v>
      </x:c>
      <x:c r="M12" s="160" t="str">
        <x:v>赛果：https://www.fotmob.com/matches/ac-oulu-vs-tps/10ke2o</x:v>
      </x:c>
    </x:row>
    <x:row r="13">
      <x:c r="A13" s="160" t="str">
        <x:v>T011</x:v>
      </x:c>
      <x:c r="B13" s="160" t="str">
        <x:v>M011｜奥勒松 vs 莫尔德</x:v>
      </x:c>
      <x:c r="C13" s="160" t="str">
        <x:v>T-19m</x:v>
      </x:c>
      <x:c r="D13" s="160" t="str">
        <x:v>符合SOP｜价格低于执行线未下注</x:v>
      </x:c>
      <x:c r="E13" s="160" t="str">
        <x:v>莫尔德-0.25；大小3附近</x:v>
      </x:c>
      <x:c r="F13" s="160" t="str">
        <x:v>莫尔德-0.25低水；大小3.25/3.5小球低水</x:v>
      </x:c>
      <x:c r="G13" s="160" t="str">
        <x:v>客胜压低但平局成交异常；总球高档压小</x:v>
      </x:c>
      <x:c r="H13" s="160" t="str">
        <x:v>平局成交警报/大球过热/高档小球保护</x:v>
      </x:c>
      <x:c r="I13" s="160" t="str">
        <x:v>BTTS Yes正确；客胜与小3.25错误</x:v>
      </x:c>
      <x:c r="J13" s="160" t="str">
        <x:v>理论莫尔德-0.25；模型总λ3.10，低估平局4球结构</x:v>
      </x:c>
      <x:c r="K13" s="160" t="str">
        <x:v>2-2验证平局警报与4球边界</x:v>
      </x:c>
      <x:c r="L13" s="160" t="str">
        <x:v>高</x:v>
      </x:c>
      <x:c r="M13" s="160" t="str">
        <x:v>赛果：https://www.aafk.no/</x:v>
      </x:c>
    </x:row>
    <x:row r="14">
      <x:c r="A14" s="160" t="str">
        <x:v>T012</x:v>
      </x:c>
      <x:c r="B14" s="160" t="str">
        <x:v>M012｜奥尔格里特 vs 赫根</x:v>
      </x:c>
      <x:c r="C14" s="160" t="str">
        <x:v>T-80m</x:v>
      </x:c>
      <x:c r="D14" s="160" t="str">
        <x:v>符合SOP｜价格低于执行线未下注</x:v>
      </x:c>
      <x:c r="E14" s="160" t="str">
        <x:v>赫根-0.75/-1；大小3/3.25</x:v>
      </x:c>
      <x:c r="F14" s="160" t="str">
        <x:v>赫根-1低水；大小3.5</x:v>
      </x:c>
      <x:c r="G14" s="160" t="str">
        <x:v>客队与大球同步走热</x:v>
      </x:c>
      <x:c r="H14" s="160" t="str">
        <x:v>客强升盘/大球拥挤/德比右尾</x:v>
      </x:c>
      <x:c r="I14" s="160" t="str">
        <x:v>赫根方向与小3.5均错误</x:v>
      </x:c>
      <x:c r="J14" s="160" t="str">
        <x:v>理论赫根-1附近；模型总λ3.35严重低估离散度</x:v>
      </x:c>
      <x:c r="K14" s="160" t="str">
        <x:v>4-3验证弱方多球与极端右尾</x:v>
      </x:c>
      <x:c r="L14" s="160" t="str">
        <x:v>中高</x:v>
      </x:c>
      <x:c r="M14" s="160" t="str">
        <x:v>赛果：https://www.aftonbladet.se/sportbladet/fotboll/a/BxwmAl/orgryte-vann-mot-hacken-i-galet-goteborgsderby</x:v>
      </x:c>
    </x:row>
    <x:row r="15">
      <x:c r="A15" s="160" t="str">
        <x:v>T013</x:v>
      </x:c>
      <x:c r="B15" s="160" t="str">
        <x:v>M013｜特罗姆瑟 vs 瓦勒伦加</x:v>
      </x:c>
      <x:c r="C15" s="160" t="str">
        <x:v>T-114m</x:v>
      </x:c>
      <x:c r="D15" s="160" t="str">
        <x:v>符合SOP｜价格低于执行线未下注</x:v>
      </x:c>
      <x:c r="E15" s="160" t="str">
        <x:v>特罗姆瑟-0.5/-0.75；大小2.5/2.75</x:v>
      </x:c>
      <x:c r="F15" s="160" t="str">
        <x:v>特罗姆瑟-0.75；大小2.75小球受护</x:v>
      </x:c>
      <x:c r="G15" s="160" t="str">
        <x:v>主胜压低；大球成交89%但盘口未升3</x:v>
      </x:c>
      <x:c r="H15" s="160" t="str">
        <x:v>主队与大球双热/小球保护/价格纪律</x:v>
      </x:c>
      <x:c r="I15" s="160" t="str">
        <x:v>主胜、小球、BTTS No与1-0全部正确</x:v>
      </x:c>
      <x:c r="J15" s="160" t="str">
        <x:v>理论-0.5低至-0.75高；模型总λ2.62合理</x:v>
      </x:c>
      <x:c r="K15" s="160" t="str">
        <x:v>1-0完整验证赛前链条</x:v>
      </x:c>
      <x:c r="L15" s="160" t="str">
        <x:v>高</x:v>
      </x:c>
      <x:c r="M15" s="160" t="str">
        <x:v>赛果：https://www.sofascore.com/football/match/valerenga-if-tromso-il/knspy</x:v>
      </x:c>
    </x:row>
    <x:row r="16">
      <x:c r="A16" s="160" t="str">
        <x:v>T014</x:v>
      </x:c>
      <x:c r="B16" s="160" t="str">
        <x:v>M014｜挪威 vs 英格兰</x:v>
      </x:c>
      <x:c r="C16" s="160" t="str">
        <x:v>T-62m</x:v>
      </x:c>
      <x:c r="D16" s="160" t="str">
        <x:v>符合SOP｜BTTS Yes仅1.40，价格不合格未下注</x:v>
      </x:c>
      <x:c r="E16" s="160" t="str">
        <x:v>英格兰-0.5；大小2.5</x:v>
      </x:c>
      <x:c r="F16" s="160" t="str">
        <x:v>英格兰-0.5低水/少数-0.75；大小2.75；BTTS Yes 1.40</x:v>
      </x:c>
      <x:c r="G16" s="160" t="str">
        <x:v>英格兰与总球同步强化；BTTS价格严重压缩</x:v>
      </x:c>
      <x:c r="H16" s="160" t="str">
        <x:v>胜负与BTTS拆分/数学第一与人工融合冲突/价格纪律</x:v>
      </x:c>
      <x:c r="I16" s="160" t="str">
        <x:v>BTTS Yes正确；英格兰90分钟胜与3球中枢错误</x:v>
      </x:c>
      <x:c r="J16" s="160" t="str">
        <x:v>理论英格兰-0.5；模型英格兰胜49.4%、平24.7%，不足以压低1-1</x:v>
      </x:c>
      <x:c r="K16" s="160" t="str">
        <x:v>90分钟1-1；加时英格兰2-1。只验证双方进球，不验证90分钟1-2</x:v>
      </x:c>
      <x:c r="L16" s="160" t="str">
        <x:v>高</x:v>
      </x:c>
      <x:c r="M16" s="160" t="str">
        <x:v>https://www.theguardian.com/football/live/2026/jul/11/norway-v-england-world-cup-2026-quarter-final-live；https://www.espn.co.uk/football/match/_/gameId/760512</x:v>
      </x:c>
    </x:row>
    <x:row r="17" ht="54" customHeight="1">
      <x:c r="A17" s="234" t="str">
        <x:v>T015</x:v>
      </x:c>
      <x:c r="B17" s="160" t="str">
        <x:v>M015｜阿根廷 vs 瑞士</x:v>
      </x:c>
      <x:c r="C17" s="160" t="str">
        <x:v>T-287m｜用户明确不再更新临盘</x:v>
      </x:c>
      <x:c r="D17" s="160" t="str">
        <x:v>符合SOP｜所有可得小球价格均低于执行线，未下注</x:v>
      </x:c>
      <x:c r="E17" s="160" t="str">
        <x:v>阿根廷-0.75/-1；大小2.25/2.5</x:v>
      </x:c>
      <x:c r="F17" s="160" t="str">
        <x:v>阿根廷-0.75低水；大小2.25小球低水；可得小2@2.14、小2.5@1.62、小2.75@1.46</x:v>
      </x:c>
      <x:c r="G17" s="160" t="str">
        <x:v>阿根廷胜压低但未统一升-1；低总球持续受护</x:v>
      </x:c>
      <x:c r="H17" s="160" t="str">
        <x:v>强队胜与零封拆分/2球中枢/平局污染/价格纪律</x:v>
      </x:c>
      <x:c r="I17" s="160" t="str">
        <x:v>小2.25方向正确（2球半红）；阿根廷90分钟胜、BTTS No与1-0错误</x:v>
      </x:c>
      <x:c r="J17" s="160" t="str">
        <x:v>理论阿根廷-0.75；模型总λ2.30合理，但瑞士进球率与平局权重仍偏低</x:v>
      </x:c>
      <x:c r="K17" s="160" t="str">
        <x:v>90分钟1-1；加时阿根廷3-1。2球验证低总球，不验证零封</x:v>
      </x:c>
      <x:c r="L17" s="160" t="str">
        <x:v>高</x:v>
      </x:c>
      <x:c r="M17" s="160" t="str">
        <x:v>https://apnews.com/article/world-cup-argentina-switzerland-score-d47ccb4ac5b3af67eca1f82228155174；https://www.espn.ph/football/match/_/gameId/760513/switzerland-argentina</x:v>
      </x:c>
    </x:row>
    <x:row r="18" ht="96" customHeight="1">
      <x:c r="A18" s="234" t="str">
        <x:v>T016</x:v>
      </x:c>
      <x:c r="B18" s="160" t="str">
        <x:v>M016｜佐加顿斯 vs 哈尔姆斯塔德</x:v>
      </x:c>
      <x:c r="C18" s="160" t="str">
        <x:v>T-12m</x:v>
      </x:c>
      <x:c r="D18" s="160" t="str">
        <x:v>符合SOP｜公开价格不合格未下注</x:v>
      </x:c>
      <x:c r="E18" s="160" t="str">
        <x:v>主让1.75；总球3.0</x:v>
      </x:c>
      <x:c r="F18" s="160" t="str">
        <x:v>主让2 @2.04；总球3.5（两侧价未可靠解析）</x:v>
      </x:c>
      <x:c r="G18" s="160" t="str">
        <x:v>让球升0.25；总球升0.5；主胜压低且交易所主胜占比90.1%</x:v>
      </x:c>
      <x:c r="H18" s="160" t="str">
        <x:v>深盘强化/总球右移/热门拥挤/价格纪律</x:v>
      </x:c>
      <x:c r="I18" s="160" t="str">
        <x:v>主队大胜与3球中枢正确；BTTS Yes结果错误</x:v>
      </x:c>
      <x:c r="J18" s="160" t="str">
        <x:v>理论-1.75；实际-2；-2公平价约2.19，安全线≥2.30</x:v>
      </x:c>
      <x:c r="K18" s="160" t="str">
        <x:v>3-0验证主队净胜3与市场第一比分；不证明2.04有正EV</x:v>
      </x:c>
      <x:c r="L18" s="160" t="str">
        <x:v>高（赛前基础内核仍降级）</x:v>
      </x:c>
      <x:c r="M18" s="160" t="str">
        <x:v>赛前冻结：data/analysis_reports/20260714_020256/...json；赛果/统计：FotMob、Sofascore、Aftonbladet（2026-07-14核验）</x:v>
      </x:c>
    </x:row>
    <x:row r="19" ht="96" customHeight="1">
      <x:c r="A19" s="249" t="str">
        <x:v>T017</x:v>
      </x:c>
      <x:c r="B19" s="249" t="str">
        <x:v>M017｜杰尔 vs 雷克雅未克维京人</x:v>
      </x:c>
      <x:c r="C19" s="249" t="str">
        <x:v>T-赛前报告冻结</x:v>
      </x:c>
      <x:c r="D19" s="249" t="str">
        <x:v>未锁单，符合空仓纪律</x:v>
      </x:c>
      <x:c r="E19" s="249" t="str">
        <x:v>杰尔主胜倾向，维京人首回合1-0领先</x:v>
      </x:c>
      <x:c r="F19" s="249" t="str">
        <x:v>主胜方向未过价格执行线</x:v>
      </x:c>
      <x:c r="G19" s="249" t="str">
        <x:v>90分钟实际转为2-2高波动平局</x:v>
      </x:c>
      <x:c r="H19" s="249" t="str">
        <x:v>客队反击进球与总比分领先心态改变主队净胜路径</x:v>
      </x:c>
      <x:c r="I19" s="249" t="str">
        <x:v>主胜方向未命中</x:v>
      </x:c>
      <x:c r="J19" s="249" t="str">
        <x:v>次回合资格赛需提高总比分状态依赖权重</x:v>
      </x:c>
      <x:c r="K19" s="249" t="str">
        <x:v>2-2；维京人总比分3-2晋级</x:v>
      </x:c>
      <x:c r="L19" s="249" t="str">
        <x:v>高</x:v>
      </x:c>
      <x:c r="M19" s="249" t="str">
        <x:v>ESPN results 与 Yahoo Sports final score 交叉核验｜赛果双源：https://www.espn.com/soccer/team/results/_/id/8249/league/UEFA.CHAMPIONS_QUAL；https://sports.yahoo.com/soccer/champions-league/vikingur-reykjavik-eto-gyor-13595566/</x:v>
      </x:c>
    </x:row>
    <x:row r="20">
      <x:c r="A20" s="160"/>
      <x:c r="B20" s="160"/>
      <x:c r="C20" s="160"/>
      <x:c r="D20" s="160"/>
      <x:c r="E20" s="160"/>
      <x:c r="F20" s="160"/>
      <x:c r="G20" s="160"/>
      <x:c r="H20" s="160"/>
      <x:c r="I20" s="160"/>
      <x:c r="J20" s="160"/>
      <x:c r="K20" s="160"/>
      <x:c r="L20" s="160"/>
      <x:c r="M20" s="160"/>
    </x:row>
    <x:row r="21">
      <x:c r="A21" s="160"/>
      <x:c r="B21" s="160"/>
      <x:c r="C21" s="160"/>
      <x:c r="D21" s="160"/>
      <x:c r="E21" s="160"/>
      <x:c r="F21" s="160"/>
      <x:c r="G21" s="160"/>
      <x:c r="H21" s="160"/>
      <x:c r="I21" s="160"/>
      <x:c r="J21" s="160"/>
      <x:c r="K21" s="160"/>
      <x:c r="L21" s="160"/>
      <x:c r="M21" s="160"/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0"/>
      <x:c r="M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0"/>
      <x:c r="M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0"/>
      <x:c r="M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0"/>
      <x:c r="M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0"/>
      <x:c r="M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0"/>
      <x:c r="M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0"/>
      <x:c r="M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  <x:c r="K101" s="160"/>
      <x:c r="L101" s="160"/>
      <x:c r="M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  <x:c r="K102" s="160"/>
      <x:c r="L102" s="160"/>
      <x:c r="M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  <x:c r="K103" s="160"/>
      <x:c r="L103" s="160"/>
      <x:c r="M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  <x:c r="K104" s="160"/>
      <x:c r="L104" s="160"/>
      <x:c r="M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  <x:c r="K105" s="160"/>
      <x:c r="L105" s="160"/>
      <x:c r="M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  <x:c r="K106" s="160"/>
      <x:c r="L106" s="160"/>
      <x:c r="M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  <x:c r="K107" s="160"/>
      <x:c r="L107" s="160"/>
      <x:c r="M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  <x:c r="K108" s="160"/>
      <x:c r="L108" s="160"/>
      <x:c r="M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  <x:c r="K109" s="160"/>
      <x:c r="L109" s="160"/>
      <x:c r="M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  <x:c r="K110" s="160"/>
      <x:c r="L110" s="160"/>
      <x:c r="M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  <x:c r="K111" s="160"/>
      <x:c r="L111" s="160"/>
      <x:c r="M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  <x:c r="K112" s="160"/>
      <x:c r="L112" s="160"/>
      <x:c r="M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  <x:c r="K113" s="160"/>
      <x:c r="L113" s="160"/>
      <x:c r="M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  <x:c r="K114" s="160"/>
      <x:c r="L114" s="160"/>
      <x:c r="M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  <x:c r="K115" s="160"/>
      <x:c r="L115" s="160"/>
      <x:c r="M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  <x:c r="K116" s="160"/>
      <x:c r="L116" s="160"/>
      <x:c r="M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  <x:c r="K117" s="160"/>
      <x:c r="L117" s="160"/>
      <x:c r="M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  <x:c r="K118" s="160"/>
      <x:c r="L118" s="160"/>
      <x:c r="M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  <x:c r="K119" s="160"/>
      <x:c r="L119" s="160"/>
      <x:c r="M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  <x:c r="K120" s="160"/>
      <x:c r="L120" s="160"/>
      <x:c r="M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  <x:c r="K121" s="160"/>
      <x:c r="L121" s="160"/>
      <x:c r="M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  <x:c r="K122" s="160"/>
      <x:c r="L122" s="160"/>
      <x:c r="M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  <x:c r="K123" s="160"/>
      <x:c r="L123" s="160"/>
      <x:c r="M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  <x:c r="K124" s="160"/>
      <x:c r="L124" s="160"/>
      <x:c r="M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  <x:c r="K125" s="160"/>
      <x:c r="L125" s="160"/>
      <x:c r="M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  <x:c r="K126" s="160"/>
      <x:c r="L126" s="160"/>
      <x:c r="M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  <x:c r="K127" s="160"/>
      <x:c r="L127" s="160"/>
      <x:c r="M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  <x:c r="K128" s="160"/>
      <x:c r="L128" s="160"/>
      <x:c r="M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  <x:c r="K129" s="160"/>
      <x:c r="L129" s="160"/>
      <x:c r="M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  <x:c r="K130" s="160"/>
      <x:c r="L130" s="160"/>
      <x:c r="M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  <x:c r="K131" s="160"/>
      <x:c r="L131" s="160"/>
      <x:c r="M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  <x:c r="K132" s="160"/>
      <x:c r="L132" s="160"/>
      <x:c r="M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  <x:c r="K133" s="160"/>
      <x:c r="L133" s="160"/>
      <x:c r="M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  <x:c r="K134" s="160"/>
      <x:c r="L134" s="160"/>
      <x:c r="M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  <x:c r="K135" s="160"/>
      <x:c r="L135" s="160"/>
      <x:c r="M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  <x:c r="K136" s="160"/>
      <x:c r="L136" s="160"/>
      <x:c r="M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  <x:c r="K137" s="160"/>
      <x:c r="L137" s="160"/>
      <x:c r="M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  <x:c r="K138" s="160"/>
      <x:c r="L138" s="160"/>
      <x:c r="M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  <x:c r="K139" s="160"/>
      <x:c r="L139" s="160"/>
      <x:c r="M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  <x:c r="K140" s="160"/>
      <x:c r="L140" s="160"/>
      <x:c r="M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  <x:c r="K141" s="160"/>
      <x:c r="L141" s="160"/>
      <x:c r="M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  <x:c r="K142" s="160"/>
      <x:c r="L142" s="160"/>
      <x:c r="M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  <x:c r="K143" s="160"/>
      <x:c r="L143" s="160"/>
      <x:c r="M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  <x:c r="K144" s="160"/>
      <x:c r="L144" s="160"/>
      <x:c r="M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  <x:c r="K145" s="160"/>
      <x:c r="L145" s="160"/>
      <x:c r="M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  <x:c r="K146" s="160"/>
      <x:c r="L146" s="160"/>
      <x:c r="M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  <x:c r="K147" s="160"/>
      <x:c r="L147" s="160"/>
      <x:c r="M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  <x:c r="K148" s="160"/>
      <x:c r="L148" s="160"/>
      <x:c r="M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  <x:c r="K149" s="160"/>
      <x:c r="L149" s="160"/>
      <x:c r="M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  <x:c r="K150" s="160"/>
      <x:c r="L150" s="160"/>
      <x:c r="M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  <x:c r="K151" s="160"/>
      <x:c r="L151" s="160"/>
      <x:c r="M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  <x:c r="K152" s="160"/>
      <x:c r="L152" s="160"/>
      <x:c r="M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  <x:c r="K153" s="160"/>
      <x:c r="L153" s="160"/>
      <x:c r="M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  <x:c r="K154" s="160"/>
      <x:c r="L154" s="160"/>
      <x:c r="M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  <x:c r="K155" s="160"/>
      <x:c r="L155" s="160"/>
      <x:c r="M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  <x:c r="K156" s="160"/>
      <x:c r="L156" s="160"/>
      <x:c r="M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  <x:c r="K157" s="160"/>
      <x:c r="L157" s="160"/>
      <x:c r="M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  <x:c r="K158" s="160"/>
      <x:c r="L158" s="160"/>
      <x:c r="M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  <x:c r="K159" s="160"/>
      <x:c r="L159" s="160"/>
      <x:c r="M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  <x:c r="K160" s="160"/>
      <x:c r="L160" s="160"/>
      <x:c r="M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  <x:c r="K161" s="160"/>
      <x:c r="L161" s="160"/>
      <x:c r="M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  <x:c r="K162" s="160"/>
      <x:c r="L162" s="160"/>
      <x:c r="M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  <x:c r="K163" s="160"/>
      <x:c r="L163" s="160"/>
      <x:c r="M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  <x:c r="K164" s="160"/>
      <x:c r="L164" s="160"/>
      <x:c r="M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  <x:c r="K165" s="160"/>
      <x:c r="L165" s="160"/>
      <x:c r="M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  <x:c r="K166" s="160"/>
      <x:c r="L166" s="160"/>
      <x:c r="M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  <x:c r="K167" s="160"/>
      <x:c r="L167" s="160"/>
      <x:c r="M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  <x:c r="K168" s="160"/>
      <x:c r="L168" s="160"/>
      <x:c r="M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  <x:c r="K169" s="160"/>
      <x:c r="L169" s="160"/>
      <x:c r="M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  <x:c r="K170" s="160"/>
      <x:c r="L170" s="160"/>
      <x:c r="M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  <x:c r="K171" s="160"/>
      <x:c r="L171" s="160"/>
      <x:c r="M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  <x:c r="K172" s="160"/>
      <x:c r="L172" s="160"/>
      <x:c r="M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  <x:c r="K173" s="160"/>
      <x:c r="L173" s="160"/>
      <x:c r="M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  <x:c r="K174" s="160"/>
      <x:c r="L174" s="160"/>
      <x:c r="M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  <x:c r="K175" s="160"/>
      <x:c r="L175" s="160"/>
      <x:c r="M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  <x:c r="K176" s="160"/>
      <x:c r="L176" s="160"/>
      <x:c r="M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  <x:c r="K177" s="160"/>
      <x:c r="L177" s="160"/>
      <x:c r="M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  <x:c r="K178" s="160"/>
      <x:c r="L178" s="160"/>
      <x:c r="M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  <x:c r="K179" s="160"/>
      <x:c r="L179" s="160"/>
      <x:c r="M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  <x:c r="K180" s="160"/>
      <x:c r="L180" s="160"/>
      <x:c r="M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  <x:c r="K181" s="160"/>
      <x:c r="L181" s="160"/>
      <x:c r="M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  <x:c r="K182" s="160"/>
      <x:c r="L182" s="160"/>
      <x:c r="M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  <x:c r="K183" s="160"/>
      <x:c r="L183" s="160"/>
      <x:c r="M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  <x:c r="K184" s="160"/>
      <x:c r="L184" s="160"/>
      <x:c r="M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  <x:c r="K185" s="160"/>
      <x:c r="L185" s="160"/>
      <x:c r="M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  <x:c r="K186" s="160"/>
      <x:c r="L186" s="160"/>
      <x:c r="M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  <x:c r="K187" s="160"/>
      <x:c r="L187" s="160"/>
      <x:c r="M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  <x:c r="K188" s="160"/>
      <x:c r="L188" s="160"/>
      <x:c r="M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  <x:c r="K189" s="160"/>
      <x:c r="L189" s="160"/>
      <x:c r="M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  <x:c r="K190" s="160"/>
      <x:c r="L190" s="160"/>
      <x:c r="M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  <x:c r="K191" s="160"/>
      <x:c r="L191" s="160"/>
      <x:c r="M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  <x:c r="K192" s="160"/>
      <x:c r="L192" s="160"/>
      <x:c r="M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  <x:c r="K193" s="160"/>
      <x:c r="L193" s="160"/>
      <x:c r="M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  <x:c r="K194" s="160"/>
      <x:c r="L194" s="160"/>
      <x:c r="M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  <x:c r="K195" s="160"/>
      <x:c r="L195" s="160"/>
      <x:c r="M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  <x:c r="K196" s="160"/>
      <x:c r="L196" s="160"/>
      <x:c r="M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  <x:c r="K197" s="160"/>
      <x:c r="L197" s="160"/>
      <x:c r="M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  <x:c r="K198" s="160"/>
      <x:c r="L198" s="160"/>
      <x:c r="M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  <x:c r="K199" s="160"/>
      <x:c r="L199" s="160"/>
      <x:c r="M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  <x:c r="K200" s="160"/>
      <x:c r="L200" s="160"/>
      <x:c r="M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0"/>
      <x:c r="M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0"/>
      <x:c r="M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0"/>
      <x:c r="M203" s="160"/>
    </x:row>
  </x:sheetData>
  <x:mergeCells>
    <x:mergeCell ref="A1:M1"/>
    <x:mergeCell ref="A2:M2"/>
  </x:mergeCells>
  <x:conditionalFormatting sqref="A4:M203">
    <x:cfRule type="expression" dxfId="65" priority="3">
      <x:formula>AND($A4&lt;&gt;"",MOD(ROW(),2)=0)</x:formula>
    </x:cfRule>
  </x:conditionalFormatting>
  <x:conditionalFormatting sqref="D4:D203">
    <x:cfRule type="expression" dxfId="66" priority="4">
      <x:formula>D4="符合赛前SOP"</x:formula>
    </x:cfRule>
    <x:cfRule type="expression" dxfId="67" priority="5">
      <x:formula>OR(D4="违规临盘修改",D4="赛中补单（红牌）")</x:formula>
    </x:cfRule>
  </x:conditionalFormatting>
  <x:conditionalFormatting sqref="L4:L203">
    <x:cfRule type="expression" dxfId="68" priority="6">
      <x:formula>L4="高"</x:formula>
    </x:cfRule>
    <x:cfRule type="expression" dxfId="69" priority="7">
      <x:formula>L4="中"</x:formula>
    </x:cfRule>
    <x:cfRule type="expression" dxfId="70" priority="8">
      <x:formula>OR(L4="中低",L4="低")</x:formula>
    </x:cfRule>
  </x:conditionalFormatting>
  <x:dataValidations count="2">
    <x:dataValidation type="list" sqref="D4:D203">
      <x:formula1>"符合赛前SOP,违规临盘修改,赛中补单（红牌）,未核到"</x:formula1>
    </x:dataValidation>
    <x:dataValidation type="list" sqref="L4:L203">
      <x:formula1>"高,中,中低,低"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44fee2c1634e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  <x:col min="8" max="8" width="38" hidden="0" customWidth="1"/>
    <x:col min="9" max="9" width="28" hidden="0" customWidth="1"/>
  </x:cols>
  <x:sheetData>
    <x:row r="1" ht="32" customHeight="1">
      <x:c r="A1" s="99" t="str">
        <x:v>04｜玩法盈亏与暴露矩阵｜按投注层与主维度拆解资金效率</x:v>
      </x:c>
      <x:c r="B1" s="99"/>
      <x:c r="C1" s="99"/>
      <x:c r="D1" s="99"/>
      <x:c r="E1" s="99"/>
      <x:c r="F1" s="99"/>
      <x:c r="G1" s="99"/>
      <x:c r="H1" s="99"/>
      <x:c r="I1" s="99"/>
    </x:row>
    <x:row r="2" ht="22" customHeight="1">
      <x:c r="A2" s="103" t="str">
        <x:v>按投注层、主维度和同场重复暴露拆解资金效率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</x:row>
    <x:row r="3" ht="24" customHeight="1">
      <x:c r="A3" s="150" t="str">
        <x:v>A. 投注层绩效矩阵</x:v>
      </x:c>
      <x:c r="B3" s="150"/>
      <x:c r="C3" s="150"/>
      <x:c r="D3" s="150"/>
      <x:c r="E3" s="150"/>
      <x:c r="F3" s="150"/>
      <x:c r="G3" s="150"/>
      <x:c r="H3" s="150"/>
      <x:c r="I3" s="150"/>
    </x:row>
    <x:row r="4" ht="28" customHeight="1">
      <x:c r="A4" s="153" t="str">
        <x:v>玩法大类</x:v>
      </x:c>
      <x:c r="B4" s="153" t="str">
        <x:v>总投注金额</x:v>
      </x:c>
      <x:c r="C4" s="153" t="str">
        <x:v>总回收</x:v>
      </x:c>
      <x:c r="D4" s="153" t="str">
        <x:v>盈亏</x:v>
      </x:c>
      <x:c r="E4" s="153" t="str">
        <x:v>ROI</x:v>
      </x:c>
      <x:c r="F4" s="153" t="str">
        <x:v>注单数</x:v>
      </x:c>
      <x:c r="G4" s="153" t="str">
        <x:v>命中率</x:v>
      </x:c>
      <x:c r="H4" s="153" t="str">
        <x:v>是否构成大众热门堆叠</x:v>
      </x:c>
      <x:c r="I4" s="153" t="str">
        <x:v>庄家舒适度（结果层）</x:v>
      </x:c>
    </x:row>
    <x:row r="5">
      <x:c r="A5" s="160" t="str">
        <x:v>保本层</x:v>
      </x:c>
      <x:c r="B5" s="161" t="n">
        <x:f>SUMIF('01_锁单与结算明细'!$D$4:$D$203,A5,'01_锁单与结算明细'!$H$4:$H$203)</x:f>
        <x:v>6.4</x:v>
      </x:c>
      <x:c r="C5" s="161" t="n">
        <x:f>SUMIF('01_锁单与结算明细'!$D$4:$D$203,A5,'01_锁单与结算明细'!$K$4:$K$203)</x:f>
        <x:v>0</x:v>
      </x:c>
      <x:c r="D5" s="161" t="n">
        <x:f>C5-B5</x:f>
        <x:v>-6.4</x:v>
      </x:c>
      <x:c r="E5" s="188" t="n">
        <x:f>IF(B5=0,"",D5/B5)</x:f>
        <x:v>-1</x:v>
      </x:c>
      <x:c r="F5" s="161" t="n">
        <x:f>COUNTIF('01_锁单与结算明细'!$D$4:$D$203,A5)</x:f>
        <x:v>1</x:v>
      </x:c>
      <x:c r="G5" s="188" t="n">
        <x:f>IF(SUMIFS('01_锁单与结算明细'!$W$4:$W$203,'01_锁单与结算明细'!$D$4:$D$203,A5)=0,"",SUMIFS('01_锁单与结算明细'!$U$4:$U$203,'01_锁单与结算明细'!$D$4:$D$203,A5)/SUMIFS('01_锁单与结算明细'!$W$4:$W$203,'01_锁单与结算明细'!$D$4:$D$203,A5))</x:f>
        <x:v>0</x:v>
      </x:c>
      <x:c r="H5" s="160" t="str">
        <x:v>是｜四场热门主胜串</x:v>
      </x:c>
      <x:c r="I5" s="160" t="str">
        <x:f>IF(D5&lt;0,"舒适",IF(D5&gt;0,"痛点","中性"))</x:f>
        <x:v>舒适</x:v>
      </x:c>
    </x:row>
    <x:row r="6">
      <x:c r="A6" s="160" t="str">
        <x:v>中轴层</x:v>
      </x:c>
      <x:c r="B6" s="161" t="n">
        <x:f>SUMIF('01_锁单与结算明细'!$D$4:$D$203,A6,'01_锁单与结算明细'!$H$4:$H$203)</x:f>
        <x:v>7.6</x:v>
      </x:c>
      <x:c r="C6" s="161" t="n">
        <x:f>SUMIF('01_锁单与结算明细'!$D$4:$D$203,A6,'01_锁单与结算明细'!$K$4:$K$203)</x:f>
        <x:v>6.44</x:v>
      </x:c>
      <x:c r="D6" s="161" t="n">
        <x:f>C6-B6</x:f>
        <x:v>-1.1599999999999993</x:v>
      </x:c>
      <x:c r="E6" s="188" t="n">
        <x:f>IF(B6=0,"",D6/B6)</x:f>
        <x:v>-0.15263157894736834</x:v>
      </x:c>
      <x:c r="F6" s="161" t="n">
        <x:f>COUNTIF('01_锁单与结算明细'!$D$4:$D$203,A6)</x:f>
        <x:v>2</x:v>
      </x:c>
      <x:c r="G6" s="188" t="n">
        <x:f>IF(SUMIFS('01_锁单与结算明细'!$W$4:$W$203,'01_锁单与结算明细'!$D$4:$D$203,A6)=0,"",SUMIFS('01_锁单与结算明细'!$U$4:$U$203,'01_锁单与结算明细'!$D$4:$D$203,A6)/SUMIFS('01_锁单与结算明细'!$W$4:$W$203,'01_锁单与结算明细'!$D$4:$D$203,A6))</x:f>
        <x:v>0.5</x:v>
      </x:c>
      <x:c r="H6" s="160" t="str">
        <x:v>是｜早期三场主胜串；法国场大小球未堆热门</x:v>
      </x:c>
      <x:c r="I6" s="160" t="str">
        <x:f>IF(D6&lt;0,"舒适",IF(D6&gt;0,"痛点","中性"))</x:f>
        <x:v>舒适</x:v>
      </x:c>
    </x:row>
    <x:row r="7">
      <x:c r="A7" s="160" t="str">
        <x:v>博上层</x:v>
      </x:c>
      <x:c r="B7" s="161" t="n">
        <x:f>SUMIF('01_锁单与结算明细'!$D$4:$D$203,A7,'01_锁单与结算明细'!$H$4:$H$203)</x:f>
        <x:v>6.2</x:v>
      </x:c>
      <x:c r="C7" s="161" t="n">
        <x:f>SUMIF('01_锁单与结算明细'!$D$4:$D$203,A7,'01_锁单与结算明细'!$K$4:$K$203)</x:f>
        <x:v>0</x:v>
      </x:c>
      <x:c r="D7" s="161" t="n">
        <x:f>C7-B7</x:f>
        <x:v>-6.2</x:v>
      </x:c>
      <x:c r="E7" s="188" t="n">
        <x:f>IF(B7=0,"",D7/B7)</x:f>
        <x:v>-1</x:v>
      </x:c>
      <x:c r="F7" s="161" t="n">
        <x:f>COUNTIF('01_锁单与结算明细'!$D$4:$D$203,A7)</x:f>
        <x:v>3</x:v>
      </x:c>
      <x:c r="G7" s="188" t="n">
        <x:f>IF(SUMIFS('01_锁单与结算明细'!$W$4:$W$203,'01_锁单与结算明细'!$D$4:$D$203,A7)=0,"",SUMIFS('01_锁单与结算明细'!$U$4:$U$203,'01_锁单与结算明细'!$D$4:$D$203,A7)/SUMIFS('01_锁单与结算明细'!$W$4:$W$203,'01_锁单与结算明细'!$D$4:$D$203,A7))</x:f>
        <x:v>0</x:v>
      </x:c>
      <x:c r="H7" s="160" t="str">
        <x:v>是｜M002/M003波胆与胜平负重叠；M007为受控小额</x:v>
      </x:c>
      <x:c r="I7" s="160" t="str">
        <x:f>IF(D7&lt;0,"舒适",IF(D7&gt;0,"痛点","中性"))</x:f>
        <x:v>舒适</x:v>
      </x:c>
    </x:row>
    <x:row r="8">
      <x:c r="A8" s="192" t="str">
        <x:v>合计/总览</x:v>
      </x:c>
      <x:c r="B8" s="193" t="n">
        <x:f>SUM(B5:B7)</x:f>
        <x:v>20.2</x:v>
      </x:c>
      <x:c r="C8" s="193" t="n">
        <x:f>SUM(C5:C7)</x:f>
        <x:v>6.44</x:v>
      </x:c>
      <x:c r="D8" s="193" t="n">
        <x:f>C8-B8</x:f>
        <x:v>-13.759999999999998</x:v>
      </x:c>
      <x:c r="E8" s="194" t="n">
        <x:f>IF(B8=0,"",D8/B8)</x:f>
        <x:v>-0.6811881188118811</x:v>
      </x:c>
      <x:c r="F8" s="193" t="n">
        <x:f>SUM(F5:F7)</x:f>
        <x:v>6</x:v>
      </x:c>
      <x:c r="G8" s="194" t="n">
        <x:f>IF(SUM('01_锁单与结算明细'!$W$4:$W$203)=0,"",SUM('01_锁单与结算明细'!$U$4:$U$203)/SUM('01_锁单与结算明细'!$W$4:$W$203))</x:f>
        <x:v>0.16666666666666666</x:v>
      </x:c>
      <x:c r="H8" s="192" t="str">
        <x:v>是｜当前样本存在热门串与同场重复暴露</x:v>
      </x:c>
      <x:c r="I8" s="192" t="str">
        <x:f>IF(D8&lt;0,"舒适",IF(D8&gt;0,"痛点","中性"))</x:f>
        <x:v>舒适</x:v>
      </x:c>
    </x:row>
    <x:row r="9">
      <x:c r="B9" s="35"/>
      <x:c r="C9" s="35"/>
      <x:c r="D9" s="35"/>
      <x:c r="E9" s="42"/>
      <x:c r="F9" s="35"/>
      <x:c r="G9" s="42"/>
    </x:row>
    <x:row r="10" ht="24" customHeight="1">
      <x:c r="A10" s="150" t="str">
        <x:v>B. 主维度玩法绩效</x:v>
      </x:c>
      <x:c r="B10" s="178"/>
      <x:c r="C10" s="178"/>
      <x:c r="D10" s="178"/>
      <x:c r="E10" s="179"/>
      <x:c r="F10" s="178"/>
      <x:c r="G10" s="179"/>
      <x:c r="H10" s="150"/>
      <x:c r="I10" s="150"/>
    </x:row>
    <x:row r="11" ht="28" customHeight="1">
      <x:c r="A11" s="153" t="str">
        <x:v>玩法大类</x:v>
      </x:c>
      <x:c r="B11" s="184" t="str">
        <x:v>总投注金额</x:v>
      </x:c>
      <x:c r="C11" s="184" t="str">
        <x:v>总回收</x:v>
      </x:c>
      <x:c r="D11" s="184" t="str">
        <x:v>盈亏</x:v>
      </x:c>
      <x:c r="E11" s="185" t="str">
        <x:v>ROI</x:v>
      </x:c>
      <x:c r="F11" s="184" t="str">
        <x:v>注单数</x:v>
      </x:c>
      <x:c r="G11" s="185" t="str">
        <x:v>命中率</x:v>
      </x:c>
      <x:c r="H11" s="153" t="str">
        <x:v>是否构成大众热门堆叠</x:v>
      </x:c>
      <x:c r="I11" s="153" t="str">
        <x:v>庄家舒适度（结果层）</x:v>
      </x:c>
    </x:row>
    <x:row r="12">
      <x:c r="A12" s="160" t="str">
        <x:v>胜平负</x:v>
      </x:c>
      <x:c r="B12" s="161" t="n">
        <x:f>SUMIF('01_锁单与结算明细'!$E$4:$E$203,A12,'01_锁单与结算明细'!$H$4:$H$203)</x:f>
        <x:v>10</x:v>
      </x:c>
      <x:c r="C12" s="161" t="n">
        <x:f>SUMIF('01_锁单与结算明细'!$E$4:$E$203,A12,'01_锁单与结算明细'!$K$4:$K$203)</x:f>
        <x:v>0</x:v>
      </x:c>
      <x:c r="D12" s="161" t="n">
        <x:f>C12-B12</x:f>
        <x:v>-10</x:v>
      </x:c>
      <x:c r="E12" s="188" t="n">
        <x:f>IF(B12=0,"",D12/B12)</x:f>
        <x:v>-1</x:v>
      </x:c>
      <x:c r="F12" s="161" t="n">
        <x:f>COUNTIF('01_锁单与结算明细'!$E$4:$E$203,A12)</x:f>
        <x:v>2</x:v>
      </x:c>
      <x:c r="G12" s="188" t="n">
        <x:f>IF(SUMIFS('01_锁单与结算明细'!$W$4:$W$203,'01_锁单与结算明细'!$E$4:$E$203,A12)=0,"",SUMIFS('01_锁单与结算明细'!$U$4:$U$203,'01_锁单与结算明细'!$E$4:$E$203,A12)/SUMIFS('01_锁单与结算明细'!$W$4:$W$203,'01_锁单与结算明细'!$E$4:$E$203,A12))</x:f>
        <x:v>0</x:v>
      </x:c>
      <x:c r="H12" s="160" t="str">
        <x:v>是｜两组热门主胜串</x:v>
      </x:c>
      <x:c r="I12" s="160" t="str">
        <x:f>IF(D12&lt;0,"舒适",IF(D12&gt;0,"痛点","中性"))</x:f>
        <x:v>舒适</x:v>
      </x:c>
    </x:row>
    <x:row r="13">
      <x:c r="A13" s="160" t="str">
        <x:v>让球</x:v>
      </x:c>
      <x:c r="B13" s="161" t="n">
        <x:f>SUMIF('01_锁单与结算明细'!$E$4:$E$203,A13,'01_锁单与结算明细'!$H$4:$H$203)</x:f>
        <x:v>0</x:v>
      </x:c>
      <x:c r="C13" s="161" t="n">
        <x:f>SUMIF('01_锁单与结算明细'!$E$4:$E$203,A13,'01_锁单与结算明细'!$K$4:$K$203)</x:f>
        <x:v>0</x:v>
      </x:c>
      <x:c r="D13" s="161" t="n">
        <x:f>C13-B13</x:f>
        <x:v>0</x:v>
      </x:c>
      <x:c r="E13" s="188" t="str">
        <x:f>IF(B13=0,"",D13/B13)</x:f>
      </x:c>
      <x:c r="F13" s="161" t="n">
        <x:f>COUNTIF('01_锁单与结算明细'!$E$4:$E$203,A13)</x:f>
        <x:v>0</x:v>
      </x:c>
      <x:c r="G13" s="188" t="str">
        <x:f>IF(SUMIFS('01_锁单与结算明细'!$W$4:$W$203,'01_锁单与结算明细'!$E$4:$E$203,A13)=0,"",SUMIFS('01_锁单与结算明细'!$U$4:$U$203,'01_锁单与结算明细'!$E$4:$E$203,A13)/SUMIFS('01_锁单与结算明细'!$W$4:$W$203,'01_锁单与结算明细'!$E$4:$E$203,A13))</x:f>
      </x:c>
      <x:c r="H13" s="160" t="str">
        <x:v>否｜当前无独立让球锁单</x:v>
      </x:c>
      <x:c r="I13" s="160" t="str">
        <x:f>IF(D13&lt;0,"舒适",IF(D13&gt;0,"痛点","中性"))</x:f>
        <x:v>中性</x:v>
      </x:c>
    </x:row>
    <x:row r="14">
      <x:c r="A14" s="160" t="str">
        <x:v>大小球</x:v>
      </x:c>
      <x:c r="B14" s="161" t="n">
        <x:f>SUMIF('01_锁单与结算明细'!$E$4:$E$203,A14,'01_锁单与结算明细'!$H$4:$H$203)</x:f>
        <x:v>4</x:v>
      </x:c>
      <x:c r="C14" s="161" t="n">
        <x:f>SUMIF('01_锁单与结算明细'!$E$4:$E$203,A14,'01_锁单与结算明细'!$K$4:$K$203)</x:f>
        <x:v>6.44</x:v>
      </x:c>
      <x:c r="D14" s="161" t="n">
        <x:f>C14-B14</x:f>
        <x:v>2.4400000000000004</x:v>
      </x:c>
      <x:c r="E14" s="188" t="n">
        <x:f>IF(B14=0,"",D14/B14)</x:f>
        <x:v>0.6100000000000001</x:v>
      </x:c>
      <x:c r="F14" s="161" t="n">
        <x:f>COUNTIF('01_锁单与结算明细'!$E$4:$E$203,A14)</x:f>
        <x:v>1</x:v>
      </x:c>
      <x:c r="G14" s="188" t="n">
        <x:f>IF(SUMIFS('01_锁单与结算明细'!$W$4:$W$203,'01_锁单与结算明细'!$E$4:$E$203,A14)=0,"",SUMIFS('01_锁单与结算明细'!$U$4:$U$203,'01_锁单与结算明细'!$E$4:$E$203,A14)/SUMIFS('01_锁单与结算明细'!$W$4:$W$203,'01_锁单与结算明细'!$E$4:$E$203,A14))</x:f>
        <x:v>1</x:v>
      </x:c>
      <x:c r="H14" s="160" t="str">
        <x:v>否｜法国场小球主仓为模型主维度</x:v>
      </x:c>
      <x:c r="I14" s="160" t="str">
        <x:f>IF(D14&lt;0,"舒适",IF(D14&gt;0,"痛点","中性"))</x:f>
        <x:v>痛点</x:v>
      </x:c>
    </x:row>
    <x:row r="15">
      <x:c r="A15" s="160" t="str">
        <x:v>BTTS</x:v>
      </x:c>
      <x:c r="B15" s="161" t="n">
        <x:f>SUMIF('01_锁单与结算明细'!$E$4:$E$203,A15,'01_锁单与结算明细'!$H$4:$H$203)</x:f>
        <x:v>0</x:v>
      </x:c>
      <x:c r="C15" s="161" t="n">
        <x:f>SUMIF('01_锁单与结算明细'!$E$4:$E$203,A15,'01_锁单与结算明细'!$K$4:$K$203)</x:f>
        <x:v>0</x:v>
      </x:c>
      <x:c r="D15" s="161" t="n">
        <x:f>C15-B15</x:f>
        <x:v>0</x:v>
      </x:c>
      <x:c r="E15" s="188" t="str">
        <x:f>IF(B15=0,"",D15/B15)</x:f>
      </x:c>
      <x:c r="F15" s="161" t="n">
        <x:f>COUNTIF('01_锁单与结算明细'!$E$4:$E$203,A15)</x:f>
        <x:v>0</x:v>
      </x:c>
      <x:c r="G15" s="188" t="str">
        <x:f>IF(SUMIFS('01_锁单与结算明细'!$W$4:$W$203,'01_锁单与结算明细'!$E$4:$E$203,A15)=0,"",SUMIFS('01_锁单与结算明细'!$U$4:$U$203,'01_锁单与结算明细'!$E$4:$E$203,A15)/SUMIFS('01_锁单与结算明细'!$W$4:$W$203,'01_锁单与结算明细'!$E$4:$E$203,A15))</x:f>
      </x:c>
      <x:c r="H15" s="160" t="str">
        <x:v>否｜当前无独立BTTS锁单</x:v>
      </x:c>
      <x:c r="I15" s="160" t="str">
        <x:f>IF(D15&lt;0,"舒适",IF(D15&gt;0,"痛点","中性"))</x:f>
        <x:v>中性</x:v>
      </x:c>
    </x:row>
    <x:row r="16">
      <x:c r="A16" s="160" t="str">
        <x:v>球队进球数</x:v>
      </x:c>
      <x:c r="B16" s="161" t="n">
        <x:f>SUMIF('01_锁单与结算明细'!$E$4:$E$203,A16,'01_锁单与结算明细'!$H$4:$H$203)</x:f>
        <x:v>0</x:v>
      </x:c>
      <x:c r="C16" s="161" t="n">
        <x:f>SUMIF('01_锁单与结算明细'!$E$4:$E$203,A16,'01_锁单与结算明细'!$K$4:$K$203)</x:f>
        <x:v>0</x:v>
      </x:c>
      <x:c r="D16" s="161" t="n">
        <x:f>C16-B16</x:f>
        <x:v>0</x:v>
      </x:c>
      <x:c r="E16" s="188" t="str">
        <x:f>IF(B16=0,"",D16/B16)</x:f>
      </x:c>
      <x:c r="F16" s="161" t="n">
        <x:f>COUNTIF('01_锁单与结算明细'!$E$4:$E$203,A16)</x:f>
        <x:v>0</x:v>
      </x:c>
      <x:c r="G16" s="188" t="str">
        <x:f>IF(SUMIFS('01_锁单与结算明细'!$W$4:$W$203,'01_锁单与结算明细'!$E$4:$E$203,A16)=0,"",SUMIFS('01_锁单与结算明细'!$U$4:$U$203,'01_锁单与结算明细'!$E$4:$E$203,A16)/SUMIFS('01_锁单与结算明细'!$W$4:$W$203,'01_锁单与结算明细'!$E$4:$E$203,A16))</x:f>
      </x:c>
      <x:c r="H16" s="160" t="str">
        <x:v>否｜当前无球队进球数锁单</x:v>
      </x:c>
      <x:c r="I16" s="160" t="str">
        <x:f>IF(D16&lt;0,"舒适",IF(D16&gt;0,"痛点","中性"))</x:f>
        <x:v>中性</x:v>
      </x:c>
    </x:row>
    <x:row r="17">
      <x:c r="A17" s="160" t="str">
        <x:v>正确比分</x:v>
      </x:c>
      <x:c r="B17" s="161" t="n">
        <x:f>SUMIF('01_锁单与结算明细'!$E$4:$E$203,A17,'01_锁单与结算明细'!$H$4:$H$203)</x:f>
        <x:v>6.2</x:v>
      </x:c>
      <x:c r="C17" s="161" t="n">
        <x:f>SUMIF('01_锁单与结算明细'!$E$4:$E$203,A17,'01_锁单与结算明细'!$K$4:$K$203)</x:f>
        <x:v>0</x:v>
      </x:c>
      <x:c r="D17" s="161" t="n">
        <x:f>C17-B17</x:f>
        <x:v>-6.2</x:v>
      </x:c>
      <x:c r="E17" s="188" t="n">
        <x:f>IF(B17=0,"",D17/B17)</x:f>
        <x:v>-1</x:v>
      </x:c>
      <x:c r="F17" s="161" t="n">
        <x:f>COUNTIF('01_锁单与结算明细'!$E$4:$E$203,A17)</x:f>
        <x:v>3</x:v>
      </x:c>
      <x:c r="G17" s="188" t="n">
        <x:f>IF(SUMIFS('01_锁单与结算明细'!$W$4:$W$203,'01_锁单与结算明细'!$E$4:$E$203,A17)=0,"",SUMIFS('01_锁单与结算明细'!$U$4:$U$203,'01_锁单与结算明细'!$E$4:$E$203,A17)/SUMIFS('01_锁单与结算明细'!$W$4:$W$203,'01_锁单与结算明细'!$E$4:$E$203,A17))</x:f>
        <x:v>0</x:v>
      </x:c>
      <x:c r="H17" s="160" t="str">
        <x:v>是｜M002/M003与胜平负重叠；M007为受控小额</x:v>
      </x:c>
      <x:c r="I17" s="160" t="str">
        <x:f>IF(D17&lt;0,"舒适",IF(D17&gt;0,"痛点","中性"))</x:f>
        <x:v>舒适</x:v>
      </x:c>
    </x:row>
    <x:row r="18">
      <x:c r="A18" s="192" t="str">
        <x:v>合计/总览</x:v>
      </x:c>
      <x:c r="B18" s="193" t="n">
        <x:f>SUM(B12:B17)</x:f>
        <x:v>20.2</x:v>
      </x:c>
      <x:c r="C18" s="193" t="n">
        <x:f>SUM(C12:C17)</x:f>
        <x:v>6.44</x:v>
      </x:c>
      <x:c r="D18" s="193" t="n">
        <x:f>C18-B18</x:f>
        <x:v>-13.759999999999998</x:v>
      </x:c>
      <x:c r="E18" s="194" t="n">
        <x:f>IF(B18=0,"",D18/B18)</x:f>
        <x:v>-0.6811881188118811</x:v>
      </x:c>
      <x:c r="F18" s="193" t="n">
        <x:f>SUM(F12:F17)</x:f>
        <x:v>6</x:v>
      </x:c>
      <x:c r="G18" s="194" t="n">
        <x:f>IF(SUM('01_锁单与结算明细'!$W$4:$W$203)=0,"",SUM('01_锁单与结算明细'!$U$4:$U$203)/SUM('01_锁单与结算明细'!$W$4:$W$203))</x:f>
        <x:v>0.16666666666666666</x:v>
      </x:c>
      <x:c r="H18" s="192" t="str">
        <x:v>是｜胜平负串与波胆是主要暴露来源</x:v>
      </x:c>
      <x:c r="I18" s="192" t="str">
        <x:f>IF(D18&lt;0,"舒适",IF(D18&gt;0,"痛点","中性"))</x:f>
        <x:v>舒适</x:v>
      </x:c>
    </x:row>
    <x:row r="20" ht="24" customHeight="1">
      <x:c r="A20" s="150" t="str">
        <x:v>C. 同场重复暴露预警清单</x:v>
      </x:c>
      <x:c r="B20" s="150"/>
      <x:c r="C20" s="150"/>
      <x:c r="D20" s="150"/>
      <x:c r="E20" s="150"/>
      <x:c r="F20" s="150"/>
      <x:c r="G20" s="150"/>
      <x:c r="H20" s="150"/>
      <x:c r="I20" s="150"/>
    </x:row>
    <x:row r="21" ht="30" customHeight="1">
      <x:c r="A21" s="153" t="str">
        <x:v>MatchID</x:v>
      </x:c>
      <x:c r="B21" s="153" t="str">
        <x:v>比赛</x:v>
      </x:c>
      <x:c r="C21" s="153" t="str">
        <x:v>重复玩法</x:v>
      </x:c>
      <x:c r="D21" s="153" t="str">
        <x:v>涉及注单</x:v>
      </x:c>
      <x:c r="E21" s="153" t="str">
        <x:v>总暴露</x:v>
      </x:c>
      <x:c r="F21" s="153" t="str">
        <x:v>风险等级</x:v>
      </x:c>
      <x:c r="G21" s="153" t="str">
        <x:v>是否受控</x:v>
      </x:c>
      <x:c r="H21" s="153" t="str">
        <x:v>赛后结果</x:v>
      </x:c>
      <x:c r="I21" s="153" t="str">
        <x:v>处理建议</x:v>
      </x:c>
    </x:row>
    <x:row r="22" ht="42" customHeight="1">
      <x:c r="A22" s="160" t="str">
        <x:v>M002</x:v>
      </x:c>
      <x:c r="B22" s="160" t="str">
        <x:v>基辅 vs 克卢日</x:v>
      </x:c>
      <x:c r="C22" s="160" t="str">
        <x:v>胜平负串+2-0波胆</x:v>
      </x:c>
      <x:c r="D22" s="160" t="str">
        <x:v>B001/B002/B004</x:v>
      </x:c>
      <x:c r="E22" s="161" t="n">
        <x:v>12.1</x:v>
      </x:c>
      <x:c r="F22" s="218" t="str">
        <x:v>高</x:v>
      </x:c>
      <x:c r="G22" s="199" t="str">
        <x:v>否</x:v>
      </x:c>
      <x:c r="H22" s="160" t="str">
        <x:v>0-0，相关注单全黑</x:v>
      </x:c>
      <x:c r="I22" s="160" t="str">
        <x:v>同构热门不得同时做双层命门和波胆</x:v>
      </x:c>
    </x:row>
    <x:row r="23" ht="42" customHeight="1">
      <x:c r="A23" s="160" t="str">
        <x:v>M003</x:v>
      </x:c>
      <x:c r="B23" s="160" t="str">
        <x:v>谢里夫 vs 亚穆尼积</x:v>
      </x:c>
      <x:c r="C23" s="160" t="str">
        <x:v>胜平负串+2-0波胆</x:v>
      </x:c>
      <x:c r="D23" s="160" t="str">
        <x:v>B001/B002/B003</x:v>
      </x:c>
      <x:c r="E23" s="161" t="n">
        <x:v>12.1</x:v>
      </x:c>
      <x:c r="F23" s="218" t="str">
        <x:v>高</x:v>
      </x:c>
      <x:c r="G23" s="199" t="str">
        <x:v>否</x:v>
      </x:c>
      <x:c r="H23" s="160" t="str">
        <x:v>0-0，相关注单全黑</x:v>
      </x:c>
      <x:c r="I23" s="160" t="str">
        <x:v>BTTS No不再自动落2-0；限制重复暴露</x:v>
      </x:c>
    </x:row>
    <x:row r="24" ht="42" customHeight="1">
      <x:c r="A24" s="160" t="str">
        <x:v>M007</x:v>
      </x:c>
      <x:c r="B24" s="160" t="str">
        <x:v>法国 vs 摩洛哥</x:v>
      </x:c>
      <x:c r="C24" s="160" t="str">
        <x:v>小2.5/3+1-0波胆</x:v>
      </x:c>
      <x:c r="D24" s="160" t="str">
        <x:v>B005/B006</x:v>
      </x:c>
      <x:c r="E24" s="161" t="n">
        <x:v>6</x:v>
      </x:c>
      <x:c r="F24" s="221" t="str">
        <x:v>中</x:v>
      </x:c>
      <x:c r="G24" s="208" t="str">
        <x:v>是｜波胆2元</x:v>
      </x:c>
      <x:c r="H24" s="160" t="str">
        <x:v>2-0，主仓红、波胆黑，净+0.44</x:v>
      </x:c>
      <x:c r="I24" s="160" t="str">
        <x:v>允许受控主仓+小额博上，但不得加码覆盖所有比分</x:v>
      </x:c>
    </x:row>
  </x:sheetData>
  <x:mergeCells>
    <x:mergeCell ref="A1:I1"/>
    <x:mergeCell ref="A3:I3"/>
    <x:mergeCell ref="A10:I10"/>
    <x:mergeCell ref="A20:I20"/>
    <x:mergeCell ref="A2:I2"/>
  </x:mergeCells>
  <x:conditionalFormatting sqref="A5:I8">
    <x:cfRule type="expression" dxfId="71" priority="7">
      <x:formula>MOD(ROW(),2)=0</x:formula>
    </x:cfRule>
  </x:conditionalFormatting>
  <x:conditionalFormatting sqref="A12:I18">
    <x:cfRule type="expression" dxfId="72" priority="8">
      <x:formula>MOD(ROW(),2)=0</x:formula>
    </x:cfRule>
  </x:conditionalFormatting>
  <x:conditionalFormatting sqref="A22:I24">
    <x:cfRule type="expression" dxfId="73" priority="9">
      <x:formula>MOD(ROW(),2)=0</x:formula>
    </x:cfRule>
  </x:conditionalFormatting>
  <x:conditionalFormatting sqref="D5:D18">
    <x:cfRule type="expression" dxfId="74" priority="10">
      <x:formula>D5&gt;0</x:formula>
    </x:cfRule>
    <x:cfRule type="expression" dxfId="75" priority="11">
      <x:formula>D5&lt;0</x:formula>
    </x:cfRule>
  </x:conditionalFormatting>
  <x:conditionalFormatting sqref="I5:I18">
    <x:cfRule type="expression" dxfId="76" priority="12">
      <x:formula>I5="舒适"</x:formula>
    </x:cfRule>
    <x:cfRule type="expression" dxfId="77" priority="13">
      <x:formula>I5="痛点"</x:formula>
    </x:cfRule>
    <x:cfRule type="expression" dxfId="78" priority="14">
      <x:formula>I5="中性"</x:formula>
    </x:cfRule>
  </x:conditionalFormatting>
  <x:conditionalFormatting sqref="F22:F24">
    <x:cfRule type="expression" dxfId="79" priority="15">
      <x:formula>F22="高"</x:formula>
    </x:cfRule>
    <x:cfRule type="expression" dxfId="80" priority="16">
      <x:formula>F22="中"</x:formula>
    </x:cfRule>
  </x:conditionalFormatting>
  <x:conditionalFormatting sqref="G22:G24">
    <x:cfRule type="expression" dxfId="81" priority="17">
      <x:formula>LEFT(G22,1)="是"</x:formula>
    </x:cfRule>
    <x:cfRule type="expression" dxfId="82" priority="18">
      <x:formula>G22="否"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40" hidden="0" customWidth="1"/>
    <x:col min="4" max="4" width="28" hidden="0" customWidth="1"/>
    <x:col min="5" max="5" width="14" hidden="0" customWidth="1"/>
    <x:col min="6" max="6" width="44" hidden="0" customWidth="1"/>
    <x:col min="7" max="7" width="44" hidden="0" customWidth="1"/>
    <x:col min="8" max="8" width="30" hidden="0" customWidth="1"/>
    <x:col min="9" max="9" width="12" hidden="0" customWidth="1"/>
    <x:col min="10" max="10" width="12" hidden="0" customWidth="1"/>
    <x:col min="12" max="12" width="22" hidden="0" customWidth="1"/>
    <x:col min="13" max="13" width="12" hidden="0" customWidth="1"/>
    <x:col min="14" max="14" width="40" hidden="0" customWidth="1"/>
  </x:cols>
  <x:sheetData>
    <x:row r="1" ht="32" customHeight="1">
      <x:c r="A1" s="99" t="str">
        <x:v>05｜根因决策树与模型修正池｜把每次错误转化为可执行规则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 ht="22" customHeight="1">
      <x:c r="A2" s="103" t="str">
        <x:v>将错误归因转化为可执行、可追踪的模型修正规则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 ht="36" customHeight="1">
      <x:c r="A3" s="153" t="str">
        <x:v>比赛场次</x:v>
      </x:c>
      <x:c r="B3" s="153" t="str">
        <x:v>决策节点审计</x:v>
      </x:c>
      <x:c r="C3" s="153" t="str">
        <x:v>反事实推演</x:v>
      </x:c>
      <x:c r="D3" s="153" t="str">
        <x:v>赛前可识别性</x:v>
      </x:c>
      <x:c r="E3" s="153" t="str">
        <x:v>是否修改模型</x:v>
      </x:c>
      <x:c r="F3" s="153" t="str">
        <x:v>具体修改建议</x:v>
      </x:c>
      <x:c r="G3" s="153" t="str">
        <x:v>收敛结论</x:v>
      </x:c>
      <x:c r="H3" s="153" t="str">
        <x:v>最大错点类型</x:v>
      </x:c>
      <x:c r="I3" s="153" t="str">
        <x:v>生效状态</x:v>
      </x:c>
      <x:c r="J3" s="153" t="str">
        <x:v>优先级</x:v>
      </x:c>
      <x:c r="L3" s="150" t="str">
        <x:v>最大错点触发透视</x:v>
      </x:c>
      <x:c r="M3" s="150"/>
      <x:c r="N3" s="150"/>
    </x:row>
    <x:row r="4" ht="64" customHeight="1">
      <x:c r="A4" s="160" t="str">
        <x:v>M001｜卡拉巴克3-0维斯特瑞</x:v>
      </x:c>
      <x:c r="B4" s="160" t="str">
        <x:v>总进球桶右移；已提示3-0却仍首推4-0</x:v>
      </x:c>
      <x:c r="C4" s="160" t="str">
        <x:v>若只按初盘与深盘卡盘，首推应为3-0</x:v>
      </x:c>
      <x:c r="D4" s="160" t="str">
        <x:v>是｜深盘-3.5与3-0污染赛前可识别</x:v>
      </x:c>
      <x:c r="E4" s="160" t="str">
        <x:v>是</x:v>
      </x:c>
      <x:c r="F4" s="160" t="str">
        <x:v>深盘-3/-3.5若无大小球/正确比分同步右移，优先3-0而非4-0</x:v>
      </x:c>
      <x:c r="G4" s="160" t="str">
        <x:v>深盘压制对，不等于4球右尾</x:v>
      </x:c>
      <x:c r="H4" s="160" t="str">
        <x:v>相邻比分污染/深盘卡盘</x:v>
      </x:c>
      <x:c r="I4" s="160" t="str">
        <x:v>已启用</x:v>
      </x:c>
      <x:c r="J4" s="160" t="str">
        <x:v>高</x:v>
      </x:c>
      <x:c r="L4" s="153" t="str">
        <x:v>风险类型</x:v>
      </x:c>
      <x:c r="M4" s="153" t="str">
        <x:v>触发次数</x:v>
      </x:c>
      <x:c r="N4" s="153" t="str">
        <x:v>动态权重建议</x:v>
      </x:c>
    </x:row>
    <x:row r="5" ht="64" customHeight="1">
      <x:c r="A5" s="160" t="str">
        <x:v>M002｜基辅0-0克卢日</x:v>
      </x:c>
      <x:c r="B5" s="160" t="str">
        <x:v>把热门压制和BTTS No直接转成2-0，并做双层命门</x:v>
      </x:c>
      <x:c r="C5" s="160" t="str">
        <x:v>若不看临场热度，只按首回合保守，应提高0-0/1-0</x:v>
      </x:c>
      <x:c r="D5" s="160" t="str">
        <x:v>是｜未升-1.5、交易所/比分未核到</x:v>
      </x:c>
      <x:c r="E5" s="160" t="str">
        <x:v>是</x:v>
      </x:c>
      <x:c r="F5" s="160" t="str">
        <x:v>首回合热门λ下调0.25-0.45；0-0/1-0进入核心污染；禁止同构热门双命门</x:v>
      </x:c>
      <x:c r="G5" s="160" t="str">
        <x:v>稳不丢球不等于稳胜</x:v>
      </x:c>
      <x:c r="H5" s="160" t="str">
        <x:v>0-0冷平/热门主胜误判</x:v>
      </x:c>
      <x:c r="I5" s="160" t="str">
        <x:v>已启用</x:v>
      </x:c>
      <x:c r="J5" s="160" t="str">
        <x:v>最高</x:v>
      </x:c>
      <x:c r="L5" s="160" t="str">
        <x:v>相邻比分污染</x:v>
      </x:c>
      <x:c r="M5" s="160" t="n">
        <x:v>3</x:v>
      </x:c>
      <x:c r="N5" s="160" t="str">
        <x:v>提高相邻比分簇权重；波胆不做单点迷信</x:v>
      </x:c>
    </x:row>
    <x:row r="6" ht="64" customHeight="1">
      <x:c r="A6" s="160" t="str">
        <x:v>M003｜谢里夫0-0亚穆尼积</x:v>
      </x:c>
      <x:c r="B6" s="160" t="str">
        <x:v>过度相信名气、主场和经验；同场胜平负+波胆重复</x:v>
      </x:c>
      <x:c r="C6" s="160" t="str">
        <x:v>若只按首回合进攻效率不明，应降为1-0/0-0</x:v>
      </x:c>
      <x:c r="D6" s="160" t="str">
        <x:v>是｜缺少强穿证据</x:v>
      </x:c>
      <x:c r="E6" s="160" t="str">
        <x:v>是</x:v>
      </x:c>
      <x:c r="F6" s="160" t="str">
        <x:v>BTTS No必须重排0-0/1-0/2-0/3-0；不再默认2-0</x:v>
      </x:c>
      <x:c r="G6" s="160" t="str">
        <x:v>盘口防主胜不等于进球兑现</x:v>
      </x:c>
      <x:c r="H6" s="160" t="str">
        <x:v>0-0冷平/热门主胜误判</x:v>
      </x:c>
      <x:c r="I6" s="160" t="str">
        <x:v>已启用</x:v>
      </x:c>
      <x:c r="J6" s="160" t="str">
        <x:v>最高</x:v>
      </x:c>
      <x:c r="L6" s="160" t="str">
        <x:v>0-0冷平</x:v>
      </x:c>
      <x:c r="M6" s="160" t="n">
        <x:v>2</x:v>
      </x:c>
      <x:c r="N6" s="160" t="str">
        <x:v>首回合热门提高0-0/1-0</x:v>
      </x:c>
    </x:row>
    <x:row r="7" ht="64" customHeight="1">
      <x:c r="A7" s="160" t="str">
        <x:v>M004｜索陆军3-2德里城</x:v>
      </x:c>
      <x:c r="B7" s="160" t="str">
        <x:v>把主胜与零封绑定，低估客队反击和尾部进球</x:v>
      </x:c>
      <x:c r="C7" s="160" t="str">
        <x:v>若拆分胜与零封，应保留2-1/3-1和BTTS Yes污染</x:v>
      </x:c>
      <x:c r="D7" s="160" t="str">
        <x:v>是｜客队并非无攻击点</x:v>
      </x:c>
      <x:c r="E7" s="160" t="str">
        <x:v>是</x:v>
      </x:c>
      <x:c r="F7" s="160" t="str">
        <x:v>深盘强队必须分别建模胜率与零封率；客队有反击点时BTTS Yes上调</x:v>
      </x:c>
      <x:c r="G7" s="160" t="str">
        <x:v>主胜可以正确，零封仍可能错误</x:v>
      </x:c>
      <x:c r="H7" s="160" t="str">
        <x:v>BTTS反向/右尾大比分</x:v>
      </x:c>
      <x:c r="I7" s="160" t="str">
        <x:v>已启用</x:v>
      </x:c>
      <x:c r="J7" s="160" t="str">
        <x:v>高</x:v>
      </x:c>
      <x:c r="L7" s="160" t="str">
        <x:v>BTTS反向</x:v>
      </x:c>
      <x:c r="M7" s="160" t="n">
        <x:v>2</x:v>
      </x:c>
      <x:c r="N7" s="160" t="str">
        <x:v>强队胜与零封分开建模</x:v>
      </x:c>
    </x:row>
    <x:row r="8" ht="64" customHeight="1">
      <x:c r="A8" s="160" t="str">
        <x:v>M005｜海杜克2-0日利纳</x:v>
      </x:c>
      <x:c r="B8" s="160" t="str">
        <x:v>首回合强队进球λ偏高，2-0强污染未上位</x:v>
      </x:c>
      <x:c r="C8" s="160" t="str">
        <x:v>若只按两球优势足够，首推2-0</x:v>
      </x:c>
      <x:c r="D8" s="160" t="str">
        <x:v>是｜-1.5不追和2球污染已出现</x:v>
      </x:c>
      <x:c r="E8" s="160" t="str">
        <x:v>是</x:v>
      </x:c>
      <x:c r="F8" s="160" t="str">
        <x:v>首回合两球优势后控局权重上调；3-0需强临场证据</x:v>
      </x:c>
      <x:c r="G8" s="160" t="str">
        <x:v>主胜零封对，右尾偏高一球</x:v>
      </x:c>
      <x:c r="H8" s="160" t="str">
        <x:v>相邻比分污染/右尾不足</x:v>
      </x:c>
      <x:c r="I8" s="160" t="str">
        <x:v>已启用</x:v>
      </x:c>
      <x:c r="J8" s="160" t="str">
        <x:v>高</x:v>
      </x:c>
      <x:c r="L8" s="160" t="str">
        <x:v>右尾大比分</x:v>
      </x:c>
      <x:c r="M8" s="160" t="n">
        <x:v>1</x:v>
      </x:c>
      <x:c r="N8" s="160" t="str">
        <x:v>客队有反击点时提高右尾</x:v>
      </x:c>
    </x:row>
    <x:row r="9" ht="64" customHeight="1">
      <x:c r="A9" s="160" t="str">
        <x:v>M006｜伏伊伏丁那1-2费伦茨</x:v>
      </x:c>
      <x:c r="B9" s="160" t="str">
        <x:v>把客强浅盘机械解释为平局保护</x:v>
      </x:c>
      <x:c r="C9" s="160" t="str">
        <x:v>若只按客队实力与后程资源，客不败/DNB优先</x:v>
      </x:c>
      <x:c r="D9" s="160" t="str">
        <x:v>是｜1-2已列最大错点</x:v>
      </x:c>
      <x:c r="E9" s="160" t="str">
        <x:v>是</x:v>
      </x:c>
      <x:c r="F9" s="160" t="str">
        <x:v>客强浅盘优先客不败/DNB；平局不能自动居首</x:v>
      </x:c>
      <x:c r="G9" s="160" t="str">
        <x:v>盘口不硬也可能是客胜降热</x:v>
      </x:c>
      <x:c r="H9" s="160" t="str">
        <x:v>客胜污染/平局模型误判</x:v>
      </x:c>
      <x:c r="I9" s="160" t="str">
        <x:v>已启用</x:v>
      </x:c>
      <x:c r="J9" s="160" t="str">
        <x:v>中高</x:v>
      </x:c>
      <x:c r="L9" s="160" t="str">
        <x:v>客胜污染</x:v>
      </x:c>
      <x:c r="M9" s="160" t="n">
        <x:v>1</x:v>
      </x:c>
      <x:c r="N9" s="160" t="str">
        <x:v>客强浅盘优先DNB/客不败</x:v>
      </x:c>
    </x:row>
    <x:row r="10" ht="64" customHeight="1">
      <x:c r="A10" s="160" t="str">
        <x:v>M007｜法国2-0摩洛哥</x:v>
      </x:c>
      <x:c r="B10" s="160" t="str">
        <x:v>唯一比分在1-0与2-0间选择偏左；主玩法选择正确</x:v>
      </x:c>
      <x:c r="C10" s="160" t="str">
        <x:v>若不买波胆只做小2.5/3，本场稳定小红</x:v>
      </x:c>
      <x:c r="D10" s="160" t="str">
        <x:v>部分｜2-0为高位污染，但第二球具体不可精确识别</x:v>
      </x:c>
      <x:c r="E10" s="160" t="str">
        <x:v>观察</x:v>
      </x:c>
      <x:c r="F10" s="160" t="str">
        <x:v>1-0与2-0同为强污染且赔率接近时，可评估分拆；本金修复期仍以主仓优先</x:v>
      </x:c>
      <x:c r="G10" s="160" t="str">
        <x:v>玩法候选池有效，精确比分仍需控制暴露</x:v>
      </x:c>
      <x:c r="H10" s="160" t="str">
        <x:v>相邻比分污染/第二球效率</x:v>
      </x:c>
      <x:c r="I10" s="160" t="str">
        <x:v>观察</x:v>
      </x:c>
      <x:c r="J10" s="160" t="str">
        <x:v>中高</x:v>
      </x:c>
      <x:c r="L10" s="160" t="str">
        <x:v>热门主胜误判</x:v>
      </x:c>
      <x:c r="M10" s="160" t="n">
        <x:v>2</x:v>
      </x:c>
      <x:c r="N10" s="160" t="str">
        <x:v>同构热门不得同时做命门</x:v>
      </x:c>
    </x:row>
    <x:row r="11" ht="54" customHeight="1">
      <x:c r="A11" s="249" t="str">
        <x:v>M009｜格尼斯坦4-2玛丽港</x:v>
      </x:c>
      <x:c r="B11" s="249" t="str">
        <x:v>主队穿盘方向正确，但把大球过热解释成右尾受限</x:v>
      </x:c>
      <x:c r="C11" s="249" t="str">
        <x:v>若将玛丽港反击与格尼斯坦高位失位纳入，应上调2-1/3-1/4-1及BTTS Yes</x:v>
      </x:c>
      <x:c r="D11" s="249" t="str">
        <x:v>是｜玛丽港虽弱仍有反击与定位球路径</x:v>
      </x:c>
      <x:c r="E11" s="249" t="str">
        <x:v>是</x:v>
      </x:c>
      <x:c r="F11" s="249" t="str">
        <x:v>强弱悬殊场若总球与让球同步升档，不能只因大球拥挤压右尾；需单独评估弱方1球及强队4球上限</x:v>
      </x:c>
      <x:c r="G11" s="249" t="str">
        <x:v>穿盘正确不代表零封或小球正确</x:v>
      </x:c>
      <x:c r="H11" s="249" t="str">
        <x:v>BTTS反向/右尾大比分</x:v>
      </x:c>
      <x:c r="I11" s="249" t="str">
        <x:v>已启用</x:v>
      </x:c>
      <x:c r="J11" s="249" t="str">
        <x:v>高</x:v>
      </x:c>
      <x:c r="K11" s="251"/>
      <x:c r="L11" s="251" t="str">
        <x:v>3球边界</x:v>
      </x:c>
      <x:c r="M11" s="251" t="n">
        <x:v>1</x:v>
      </x:c>
      <x:c r="N11" s="251" t="str">
        <x:v>小2.75重点审核恰好3球概率；价格不足时拒绝边界盘</x:v>
      </x:c>
    </x:row>
    <x:row r="12">
      <x:c r="A12" s="160" t="str">
        <x:v>M010｜TPS3-0AC奥卢</x:v>
      </x:c>
      <x:c r="B12" s="160" t="str">
        <x:v>识别欧亚完整转向TPS，却仍让小球低水压过主队进球数上修</x:v>
      </x:c>
      <x:c r="C12" s="160" t="str">
        <x:v>若市场翻转进入平手主队低水且主胜持续压低，应先上调主队λ，再决定大小球</x:v>
      </x:c>
      <x:c r="D12" s="160" t="str">
        <x:v>是｜盘口与欧赔多公司同步</x:v>
      </x:c>
      <x:c r="E12" s="160" t="str">
        <x:v>是</x:v>
      </x:c>
      <x:c r="F12" s="160" t="str">
        <x:v>客让退平并转主队低水时，主队进球λ至少重新估计一次；总球升档不可仅解释为诱大</x:v>
      </x:c>
      <x:c r="G12" s="160" t="str">
        <x:v>方向转主队真实，错误在进球兑现不足</x:v>
      </x:c>
      <x:c r="H12" s="160" t="str">
        <x:v>主队进球数低估/3球边界</x:v>
      </x:c>
      <x:c r="I12" s="160" t="str">
        <x:v>已启用</x:v>
      </x:c>
      <x:c r="J12" s="160" t="str">
        <x:v>高</x:v>
      </x:c>
      <x:c r="K12"/>
      <x:c r="L12"/>
      <x:c r="M12"/>
      <x:c r="N12"/>
    </x:row>
    <x:row r="13">
      <x:c r="A13" s="160" t="str">
        <x:v>M011｜奥勒松2-2莫尔德</x:v>
      </x:c>
      <x:c r="B13" s="160" t="str">
        <x:v>平局成交47%已是强警报，却仍把1-2放在2-2之前</x:v>
      </x:c>
      <x:c r="C13" s="160" t="str">
        <x:v>若交易所平局占比远高于隐含概率且平赔未抬升，应把1-1/2-2提升为核心</x:v>
      </x:c>
      <x:c r="D13" s="160" t="str">
        <x:v>是｜赛前交易结构明确</x:v>
      </x:c>
      <x:c r="E13" s="160" t="str">
        <x:v>是</x:v>
      </x:c>
      <x:c r="F13" s="160" t="str">
        <x:v>平局成交异常必须进入比分排序，不只写风险提示；BTTS Yes＋高总球时优先审核2-2</x:v>
      </x:c>
      <x:c r="G13" s="160" t="str">
        <x:v>交易警报不能只做备注</x:v>
      </x:c>
      <x:c r="H13" s="160" t="str">
        <x:v>平局低估/4球边界</x:v>
      </x:c>
      <x:c r="I13" s="160" t="str">
        <x:v>已启用</x:v>
      </x:c>
      <x:c r="J13" s="160" t="str">
        <x:v>高</x:v>
      </x:c>
      <x:c r="K13"/>
      <x:c r="L13"/>
      <x:c r="M13"/>
      <x:c r="N13"/>
    </x:row>
    <x:row r="14">
      <x:c r="A14" s="160" t="str">
        <x:v>M012｜奥尔格里特4-3赫根</x:v>
      </x:c>
      <x:c r="B14" s="160" t="str">
        <x:v>用3.5高门槛压右尾，低估德比、主队持续进球与热门防线连续崩盘</x:v>
      </x:c>
      <x:c r="C14" s="160" t="str">
        <x:v>若把赫根连续失4球、奥尔格里特主场场场进球与德比波动合并，主维度应放弃小球</x:v>
      </x:c>
      <x:c r="D14" s="160" t="str">
        <x:v>是｜主要风险赛前可识别</x:v>
      </x:c>
      <x:c r="E14" s="160" t="str">
        <x:v>是</x:v>
      </x:c>
      <x:c r="F14" s="160" t="str">
        <x:v>热门防线连续崩盘＋弱方主场稳定进球＋德比时，禁止仅因高盘选择小球；提高5+尾部与弱方2球概率</x:v>
      </x:c>
      <x:c r="G14" s="160" t="str">
        <x:v>这是结构性右尾误判，不是单纯随机</x:v>
      </x:c>
      <x:c r="H14" s="160" t="str">
        <x:v>极端右尾/弱方多球/热门防线崩盘</x:v>
      </x:c>
      <x:c r="I14" s="160" t="str">
        <x:v>已启用</x:v>
      </x:c>
      <x:c r="J14" s="160" t="str">
        <x:v>最高</x:v>
      </x:c>
      <x:c r="K14"/>
      <x:c r="L14"/>
      <x:c r="M14"/>
      <x:c r="N14"/>
    </x:row>
    <x:row r="15">
      <x:c r="A15" s="160" t="str">
        <x:v>M013｜特罗姆瑟1-0瓦勒伦加</x:v>
      </x:c>
      <x:c r="B15" s="160" t="str">
        <x:v>足球链与比分全部正确，但执行线高于实际可得价格</x:v>
      </x:c>
      <x:c r="C15" s="160" t="str">
        <x:v>反事实买入会盈利，但单场赛果不足以证明阈值错误</x:v>
      </x:c>
      <x:c r="D15" s="160" t="str">
        <x:v>部分｜结果支持模型，价格优势仍需长期CLV验证</x:v>
      </x:c>
      <x:c r="E15" s="160" t="str">
        <x:v>观察</x:v>
      </x:c>
      <x:c r="F15" s="160" t="str">
        <x:v>保留小2.75≥1.92阈值；累计同类样本后再评估是否降至1.88-1.90</x:v>
      </x:c>
      <x:c r="G15" s="160" t="str">
        <x:v>正确模型与未下注可同时成立</x:v>
      </x:c>
      <x:c r="H15" s="160" t="str">
        <x:v>价格阈值过严待观察</x:v>
      </x:c>
      <x:c r="I15" s="160" t="str">
        <x:v>观察</x:v>
      </x:c>
      <x:c r="J15" s="160" t="str">
        <x:v>中</x:v>
      </x:c>
      <x:c r="K15"/>
      <x:c r="L15"/>
      <x:c r="M15"/>
      <x:c r="N15"/>
    </x:row>
    <x:row r="16">
      <x:c r="A16" s="160" t="str">
        <x:v>M014｜挪威1-1英格兰（90分钟）</x:v>
      </x:c>
      <x:c r="B16" s="160" t="str">
        <x:v>数学第一比分是1-1，但人工融合因英格兰胜盘与1-2市场低赔覆盖了数学第一</x:v>
      </x:c>
      <x:c r="C16" s="160" t="str">
        <x:v>若英格兰90分钟胜率仍低于50%、平局约25%，应保留1-1为唯一比分；BTTS Yes可独立作为主维度</x:v>
      </x:c>
      <x:c r="D16" s="160" t="str">
        <x:v>是｜1-1在赛前矩阵居首且明确列为第一错点</x:v>
      </x:c>
      <x:c r="E16" s="160" t="str">
        <x:v>是</x:v>
      </x:c>
      <x:c r="F16" s="160" t="str">
        <x:v>新增 DRAW-TOP-01：当数学第一为平局、热门90分钟胜率&lt;50%且平局≥24%时，除非确认首发/交易所提供新的强证据，不得仅凭热门盘面和正确比分低赔把平局降出首位。加时比分不得反向记作90分钟命中。</x:v>
      </x:c>
      <x:c r="G16" s="160" t="str">
        <x:v>主维度BTTS正确；错在人工融合越权，不在Poisson底盘</x:v>
      </x:c>
      <x:c r="H16" s="160" t="str">
        <x:v>平局低估/人工融合覆盖数学第一</x:v>
      </x:c>
      <x:c r="I16" s="160" t="str">
        <x:v>已启用</x:v>
      </x:c>
      <x:c r="J16" s="160" t="str">
        <x:v>最高</x:v>
      </x:c>
      <x:c r="K16"/>
      <x:c r="L16"/>
      <x:c r="M16"/>
      <x:c r="N16"/>
    </x:row>
    <x:row r="17" ht="54" customHeight="1">
      <x:c r="A17" s="234" t="str">
        <x:v>M015｜阿根廷1-1瑞士（90分钟）</x:v>
      </x:c>
      <x:c r="B17" s="160" t="str">
        <x:v>低总球判断正确，但把阿根廷优势过度绑定零封；瑞士0.72λ、平局26%和1-1高位污染未充分进入唯一比分</x:v>
      </x:c>
      <x:c r="C17" s="160" t="str">
        <x:v>若弱方λ≥0.65、平局≥25%、1-1概率≥10%，即便BTTS No略优，也应降低零封比分置信度并把1-1提升为第一污染/竞争比分</x:v>
      </x:c>
      <x:c r="D17" s="160" t="str">
        <x:v>是｜瑞士定位球、边路推进和阿根廷近期防线波动赛前均可识别</x:v>
      </x:c>
      <x:c r="E17" s="160" t="str">
        <x:v>是</x:v>
      </x:c>
      <x:c r="F17" s="160" t="str">
        <x:v>新增 LOWTOTAL-BTTS-02：低总球不等于零封。弱方λ≥0.65且具备定位球/边路传中/转换至少两条路径时，必须单列1-1与2-1；BTTS No不足60%不得作为高置信零封依据。红牌若发生在扳平之后，不用于解释90分钟赛前错误。</x:v>
      </x:c>
      <x:c r="G17" s="160" t="str">
        <x:v>总球中枢判断有效；错误在弱方单次进球路径与平局权重</x:v>
      </x:c>
      <x:c r="H17" s="160" t="str">
        <x:v>弱方进球率低估/平局污染</x:v>
      </x:c>
      <x:c r="I17" s="160" t="str">
        <x:v>已启用</x:v>
      </x:c>
      <x:c r="J17" s="160" t="str">
        <x:v>高</x:v>
      </x:c>
    </x:row>
    <x:row r="18" ht="108" customHeight="1">
      <x:c r="A18" s="234" t="str">
        <x:v>M016｜佐加顿斯3-0哈尔姆斯塔德</x:v>
      </x:c>
      <x:c r="B18" s="160" t="str">
        <x:v>主维度和总球中枢正确；人工唯一比分在3-0与3-1间选择了后者</x:v>
      </x:c>
      <x:c r="C18" s="160" t="str">
        <x:v>若机械选择市场第一会命中3-0，但赛前客队λ0.82与两条进球路径使3-1仍有合理依据；投注决策不变</x:v>
      </x:c>
      <x:c r="D18" s="160" t="str">
        <x:v>部分｜3-0赛前已列市场第一；客队最终1.08 xG说明零封不可确定</x:v>
      </x:c>
      <x:c r="E18" s="160" t="str">
        <x:v>观察</x:v>
      </x:c>
      <x:c r="F18" s="160" t="str">
        <x:v>新增观察：精确比分复盘同时比较赛果与实际xG；零封但对手xG≥1时，不得把结果直接解释为弱方进球概率应下调</x:v>
      </x:c>
      <x:c r="G18" s="160" t="str">
        <x:v>足球/主维度正确，精确比分落点错；空仓和价格纪律正确</x:v>
      </x:c>
      <x:c r="H18" s="160" t="str">
        <x:v>弱方进球落点/市场第一未上位</x:v>
      </x:c>
      <x:c r="I18" s="160" t="str">
        <x:v>观察</x:v>
      </x:c>
      <x:c r="J18" s="160" t="str">
        <x:v>中</x:v>
      </x:c>
    </x:row>
    <x:row r="19" ht="108" customHeight="1">
      <x:c r="A19" s="249" t="str">
        <x:v>M017｜杰尔2-2雷克雅未克维京人</x:v>
      </x:c>
      <x:c r="B19" s="249" t="str">
        <x:v>方向保留但价格层空仓，执行纪律正确；方向模型错误</x:v>
      </x:c>
      <x:c r="C19" s="249" t="str">
        <x:v>赛前若把维京人首回合领先后的反击/守平权重上调，主胜应降级为观察</x:v>
      </x:c>
      <x:c r="D19" s="249" t="str">
        <x:v>部分可识别</x:v>
      </x:c>
      <x:c r="E19" s="249" t="str">
        <x:v>否</x:v>
      </x:c>
      <x:c r="F19" s="249" t="str">
        <x:v>记录为次回合状态依赖观察项，至少再等2场独立样本再改规则</x:v>
      </x:c>
      <x:c r="G19" s="249" t="str">
        <x:v>黑且逻辑错误；空仓避免损失</x:v>
      </x:c>
      <x:c r="H19" s="249" t="str">
        <x:v>两回合状态依赖与平局尾部</x:v>
      </x:c>
      <x:c r="I19" s="249" t="str">
        <x:v>观察</x:v>
      </x:c>
      <x:c r="J19" s="249" t="str">
        <x:v>中</x:v>
      </x:c>
    </x:row>
    <x:row r="20">
      <x:c r="A20" s="160"/>
      <x:c r="B20" s="160"/>
      <x:c r="C20" s="160"/>
      <x:c r="D20" s="160"/>
      <x:c r="E20" s="160"/>
      <x:c r="F20" s="160"/>
      <x:c r="G20" s="160"/>
      <x:c r="H20" s="160"/>
      <x:c r="I20" s="160"/>
      <x:c r="J20" s="160"/>
    </x:row>
    <x:row r="21">
      <x:c r="A21" s="160"/>
      <x:c r="B21" s="160"/>
      <x:c r="C21" s="160"/>
      <x:c r="D21" s="160"/>
      <x:c r="E21" s="160"/>
      <x:c r="F21" s="160"/>
      <x:c r="G21" s="160"/>
      <x:c r="H21" s="160"/>
      <x:c r="I21" s="160"/>
      <x:c r="J21" s="160"/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</x:row>
  </x:sheetData>
  <x:mergeCells>
    <x:mergeCell ref="A1:N1"/>
    <x:mergeCell ref="L3:N3"/>
    <x:mergeCell ref="A2:N2"/>
  </x:mergeCells>
  <x:conditionalFormatting sqref="A4:J203">
    <x:cfRule type="expression" dxfId="83" priority="5">
      <x:formula>AND($A4&lt;&gt;"",MOD(ROW(),2)=0)</x:formula>
    </x:cfRule>
  </x:conditionalFormatting>
  <x:conditionalFormatting sqref="L5:N10">
    <x:cfRule type="expression" dxfId="84" priority="6">
      <x:formula>MOD(ROW(),2)=0</x:formula>
    </x:cfRule>
  </x:conditionalFormatting>
  <x:conditionalFormatting sqref="E4:E203">
    <x:cfRule type="expression" dxfId="85" priority="7">
      <x:formula>E4="是"</x:formula>
    </x:cfRule>
    <x:cfRule type="expression" dxfId="86" priority="8">
      <x:formula>E4="观察"</x:formula>
    </x:cfRule>
  </x:conditionalFormatting>
  <x:conditionalFormatting sqref="I4:I203">
    <x:cfRule type="expression" dxfId="87" priority="9">
      <x:formula>I4="已启用"</x:formula>
    </x:cfRule>
    <x:cfRule type="expression" dxfId="88" priority="10">
      <x:formula>I4="观察"</x:formula>
    </x:cfRule>
  </x:conditionalFormatting>
  <x:conditionalFormatting sqref="J4:J203">
    <x:cfRule type="expression" dxfId="89" priority="11">
      <x:formula>J4="最高"</x:formula>
    </x:cfRule>
    <x:cfRule type="expression" dxfId="90" priority="12">
      <x:formula>J4="高"</x:formula>
    </x:cfRule>
    <x:cfRule type="expression" dxfId="91" priority="13">
      <x:formula>J4="中高"</x:formula>
    </x:cfRule>
  </x:conditionalFormatting>
  <x:conditionalFormatting sqref="M5:M10">
    <x:cfRule type="dataBar" priority="14">
      <x:dataBar>
        <x:cfvo type="min"/>
        <x:cfvo type="max"/>
        <x:color rgb="FF2F5D8A"/>
      </x:dataBar>
      <x:extLst>
        <x:ext xmlns:x14="http://schemas.microsoft.com/office/spreadsheetml/2009/9/main" uri="{B025F937-C7B1-47D3-B67F-A62EFF666E3E}">
          <x14:id>{34B15CB0-71AE-51D9-EC45-99D1026B902E}</x14:id>
        </x:ext>
      </x:extLst>
    </x:cfRule>
  </x:conditionalFormatting>
  <x:dataValidations count="3">
    <x:dataValidation type="list" sqref="E4:E203">
      <x:formula1>"是,否,观察"</x:formula1>
    </x:dataValidation>
    <x:dataValidation type="list" sqref="I4:I203">
      <x:formula1>"已启用,观察,未启用,已废弃"</x:formula1>
    </x:dataValidation>
    <x:dataValidation type="list" sqref="J4:J203">
      <x:formula1>"最高,高,中高,中,低"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acaaad9d5d4f9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4" id="{34B15CB0-71AE-51D9-EC45-99D1026B902E}">
            <x14:dataBar gradient="1">
              <x14:cfvo type="min"/>
              <x14:cfvo type="max"/>
              <x14:fillColor rgb="FF2F5D8A"/>
            </x14:dataBar>
          </x14:cfRule>
          <xm:sqref>M5:M10</xm:sqref>
        </x14:conditionalFormatting>
      </x14:conditionalFormattings>
    </x:ext>
  </x:extLst>
</x:worksheet>
</file>